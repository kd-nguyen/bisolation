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e contact" sheetId="1" r:id="rId4"/>
    <sheet state="visible" name="Cadre contribution" sheetId="2" r:id="rId5"/>
    <sheet state="visible" name="Schéma " sheetId="3" r:id="rId6"/>
    <sheet state="visible" name="Fiche produit" sheetId="4" r:id="rId7"/>
    <sheet state="visible" name="Attestation de TVA" sheetId="5" r:id="rId8"/>
    <sheet state="visible" name="Liens à compléter" sheetId="6" r:id="rId9"/>
  </sheets>
  <definedNames/>
  <calcPr/>
  <extLst>
    <ext uri="GoogleSheetsCustomDataVersion2">
      <go:sheetsCustomData xmlns:go="http://customooxmlschemas.google.com/" r:id="rId10" roundtripDataChecksum="M6K2tiKA4BHNkNHzbpvX73K32tmF9WCxXrp9AjiUqZ4="/>
    </ext>
  </extLst>
</workbook>
</file>

<file path=xl/sharedStrings.xml><?xml version="1.0" encoding="utf-8"?>
<sst xmlns="http://schemas.openxmlformats.org/spreadsheetml/2006/main" count="285" uniqueCount="249">
  <si>
    <t>FICHE CONTACT</t>
  </si>
  <si>
    <t>CHARGE D'AFFAIRES :</t>
  </si>
  <si>
    <t xml:space="preserve">Date de l'appel: </t>
  </si>
  <si>
    <t xml:space="preserve">Date du RDV: </t>
  </si>
  <si>
    <t>Civilité</t>
  </si>
  <si>
    <t>Mr</t>
  </si>
  <si>
    <t>{NOM}</t>
  </si>
  <si>
    <t>Code Client:</t>
  </si>
  <si>
    <t>Entreprise</t>
  </si>
  <si>
    <t>Nom:</t>
  </si>
  <si>
    <t xml:space="preserve">Prénom:  </t>
  </si>
  <si>
    <t>Adresse :</t>
  </si>
  <si>
    <t>N° Parcelle cadastrale</t>
  </si>
  <si>
    <t>Code postal :</t>
  </si>
  <si>
    <t xml:space="preserve">Ville: </t>
  </si>
  <si>
    <t xml:space="preserve">Pour le chantier situé : </t>
  </si>
  <si>
    <t xml:space="preserve">Téléphone :  </t>
  </si>
  <si>
    <t>Portable :</t>
  </si>
  <si>
    <t xml:space="preserve">Mail: </t>
  </si>
  <si>
    <t xml:space="preserve">Origine : </t>
  </si>
  <si>
    <t xml:space="preserve">INFORMATIONS COMPLEMENTAIRES : </t>
  </si>
  <si>
    <t>Financement :</t>
  </si>
  <si>
    <t>CEE</t>
  </si>
  <si>
    <t>ANAH</t>
  </si>
  <si>
    <t>SOLIHA</t>
  </si>
  <si>
    <t>PRIME RENOV</t>
  </si>
  <si>
    <r>
      <rPr>
        <rFont val="Arial"/>
        <color theme="1"/>
        <sz val="10.0"/>
        <u/>
      </rPr>
      <t>SI AUTRES, PRECISE</t>
    </r>
    <r>
      <rPr>
        <rFont val="Arial"/>
        <color theme="1"/>
        <sz val="10.0"/>
      </rPr>
      <t xml:space="preserve"> :
</t>
    </r>
  </si>
  <si>
    <t xml:space="preserve">CEE :   </t>
  </si>
  <si>
    <t>BLEU</t>
  </si>
  <si>
    <t>JAUNE</t>
  </si>
  <si>
    <t>VIOLET</t>
  </si>
  <si>
    <t>ROSE</t>
  </si>
  <si>
    <t>PRIME RENOV FAITE PAR :</t>
  </si>
  <si>
    <t>Maison</t>
  </si>
  <si>
    <t>Appartement</t>
  </si>
  <si>
    <t>Immeuble</t>
  </si>
  <si>
    <t>Neuf /</t>
  </si>
  <si>
    <t>Rénovation</t>
  </si>
  <si>
    <t xml:space="preserve">Année de construction du logement : </t>
  </si>
  <si>
    <t xml:space="preserve">Surface Habitable :    </t>
  </si>
  <si>
    <t xml:space="preserve"> m²</t>
  </si>
  <si>
    <t xml:space="preserve">Projet d'Isolation: </t>
  </si>
  <si>
    <t>COMBLES</t>
  </si>
  <si>
    <t>RAMPANTS</t>
  </si>
  <si>
    <t>RAVALS</t>
  </si>
  <si>
    <t>MURS ITI</t>
  </si>
  <si>
    <t>VMI</t>
  </si>
  <si>
    <t>PLANCHER BAS</t>
  </si>
  <si>
    <t>TYPE CHARPENTE:</t>
  </si>
  <si>
    <t>TRADITIONNELLE</t>
  </si>
  <si>
    <t>FERMETTES</t>
  </si>
  <si>
    <t>VOLIGE</t>
  </si>
  <si>
    <t>LITEAUX</t>
  </si>
  <si>
    <t xml:space="preserve">ARDOISE </t>
  </si>
  <si>
    <t>AUTRES</t>
  </si>
  <si>
    <t>ETAT :</t>
  </si>
  <si>
    <t xml:space="preserve">Mode de chauffage  :  </t>
  </si>
  <si>
    <t>Surface à isoler :</t>
  </si>
  <si>
    <t>PRESENCE DE :</t>
  </si>
  <si>
    <t>CHEMINEE :</t>
  </si>
  <si>
    <t>POËLE A GRANULES</t>
  </si>
  <si>
    <t>CHAUDIERE</t>
  </si>
  <si>
    <t>CUISINIERE</t>
  </si>
  <si>
    <t>CONDUIT EN :</t>
  </si>
  <si>
    <t>PIGNON</t>
  </si>
  <si>
    <t>TOITURE</t>
  </si>
  <si>
    <t>MUR</t>
  </si>
  <si>
    <t xml:space="preserve">CONSTRUCTION: </t>
  </si>
  <si>
    <t>PARPAING</t>
  </si>
  <si>
    <t>PIERRES</t>
  </si>
  <si>
    <t>MOB</t>
  </si>
  <si>
    <t xml:space="preserve">Stationnemment/Accès : </t>
  </si>
  <si>
    <t>Dépose de l'ancien isolant</t>
  </si>
  <si>
    <t>Evacuation et reçyclage</t>
  </si>
  <si>
    <t>Hauteur de gouttière :</t>
  </si>
  <si>
    <t>Type d'isolant</t>
  </si>
  <si>
    <t>Désardoisage/réardoisage</t>
  </si>
  <si>
    <t>Trappe d'accès</t>
  </si>
  <si>
    <t>Isolation de la trappe</t>
  </si>
  <si>
    <t>VMC à rehausser (20 cm)</t>
  </si>
  <si>
    <t xml:space="preserve">Spot </t>
  </si>
  <si>
    <t xml:space="preserve">Nbre: </t>
  </si>
  <si>
    <t>Modèle:</t>
  </si>
  <si>
    <t xml:space="preserve">Création d'un chemin </t>
  </si>
  <si>
    <t>Longueur</t>
  </si>
  <si>
    <t>Largeur</t>
  </si>
  <si>
    <t>Création d'un plancher</t>
  </si>
  <si>
    <t>Surface</t>
  </si>
  <si>
    <t>Type</t>
  </si>
  <si>
    <t>Matériaux utilisés :</t>
  </si>
  <si>
    <t>Observations</t>
  </si>
  <si>
    <t>Date prévisionnelle début de chantier souhaité:</t>
  </si>
  <si>
    <t>Durée estimée:</t>
  </si>
  <si>
    <t>Jour : ______  Mois : _______ Année : _____</t>
  </si>
  <si>
    <t xml:space="preserve">                       </t>
  </si>
  <si>
    <t xml:space="preserve">          CADRE DE CONTRIBUTION
</t>
  </si>
  <si>
    <t>Le dispositif national des certificats d’économies d’énergie (CEE) mis en place par le Ministère en charge de l’énergie impose à
l’ensemble des fournisseurs d’énergie (électricité, gaz, fioul domestique, chaleur ou froid, carburants automobiles), de réaliser des 
économies et de promouvoir les comportements vertueux auprès des consommateurs d’énergie.</t>
  </si>
  <si>
    <r>
      <rPr>
        <rFont val="Calibri"/>
        <color theme="1"/>
        <sz val="18.0"/>
      </rPr>
      <t>Dans ce cadre de son partenariat avec</t>
    </r>
    <r>
      <rPr>
        <rFont val="Calibri"/>
        <b/>
        <color theme="1"/>
        <sz val="18.0"/>
      </rPr>
      <t xml:space="preserve"> TotalEnergies Marketing France</t>
    </r>
    <r>
      <rPr>
        <rFont val="Calibri"/>
        <color theme="1"/>
        <sz val="18.0"/>
      </rPr>
      <t xml:space="preserve">, la société </t>
    </r>
    <r>
      <rPr>
        <rFont val="Calibri"/>
        <b/>
        <color theme="1"/>
        <sz val="18.0"/>
      </rPr>
      <t>CPO</t>
    </r>
    <r>
      <rPr>
        <rFont val="Calibri"/>
        <color theme="1"/>
        <sz val="18.0"/>
      </rPr>
      <t xml:space="preserve"> s’engage à vous apporter :</t>
    </r>
  </si>
  <si>
    <r>
      <rPr>
        <rFont val="Noto Sans Symbols"/>
        <color theme="1"/>
        <sz val="18.0"/>
      </rPr>
      <t xml:space="preserve"> </t>
    </r>
    <r>
      <rPr>
        <rFont val="Calibri"/>
        <color theme="1"/>
        <sz val="18.0"/>
      </rPr>
      <t xml:space="preserve"> une prime d’un montant de</t>
    </r>
  </si>
  <si>
    <t xml:space="preserve"> euros </t>
  </si>
  <si>
    <t xml:space="preserve">  euros  </t>
  </si>
  <si>
    <r>
      <rPr>
        <rFont val="Wingdings"/>
        <color theme="1"/>
        <sz val="18.0"/>
      </rPr>
      <t xml:space="preserve"> </t>
    </r>
    <r>
      <rPr>
        <rFont val="Calibri"/>
        <color theme="1"/>
        <sz val="18.0"/>
      </rPr>
      <t xml:space="preserve"> un bon d’achat pour des produits de consommation courante d’un montant de </t>
    </r>
  </si>
  <si>
    <r>
      <rPr>
        <rFont val="Wingdings"/>
        <color theme="1"/>
        <sz val="18.0"/>
      </rPr>
      <t xml:space="preserve"> </t>
    </r>
    <r>
      <rPr>
        <rFont val="Calibri"/>
        <color theme="1"/>
        <sz val="18.0"/>
      </rPr>
      <t xml:space="preserve"> un prêt bonifié d’un montant de </t>
    </r>
  </si>
  <si>
    <t>)</t>
  </si>
  <si>
    <r>
      <rPr>
        <rFont val="Wingdings"/>
        <color theme="1"/>
        <sz val="18.0"/>
      </rPr>
      <t xml:space="preserve"> </t>
    </r>
    <r>
      <rPr>
        <rFont val="Calibri"/>
        <color theme="1"/>
        <sz val="18.0"/>
      </rPr>
      <t xml:space="preserve"> au taux effectif global (TEG) de</t>
    </r>
  </si>
  <si>
    <r>
      <rPr>
        <rFont val="Wingdings"/>
        <color theme="1"/>
        <sz val="18.0"/>
      </rPr>
      <t xml:space="preserve"> </t>
    </r>
    <r>
      <rPr>
        <rFont val="Calibri"/>
        <color theme="1"/>
        <sz val="18.0"/>
      </rPr>
      <t xml:space="preserve"> un audit ou conseil personnalisé, remis sous forme écrite au bénéficiaire (valeur = </t>
    </r>
  </si>
  <si>
    <t xml:space="preserve"> )</t>
  </si>
  <si>
    <t xml:space="preserve">     un produit ou service offert, </t>
  </si>
  <si>
    <t>[nature à préciser]</t>
  </si>
  <si>
    <t>d'une valeur de</t>
  </si>
  <si>
    <r>
      <rPr>
        <rFont val="Calibri"/>
        <color theme="1"/>
        <sz val="18.0"/>
      </rPr>
      <t xml:space="preserve">dans le cadre des travaux suivants (1 ligne par opération) : </t>
    </r>
    <r>
      <rPr>
        <rFont val="Calibri"/>
        <b/>
        <color theme="1"/>
        <sz val="18.0"/>
      </rPr>
      <t xml:space="preserve"> </t>
    </r>
  </si>
  <si>
    <t>Nature des travaux (à compléter par le professionnel)</t>
  </si>
  <si>
    <t>N° Fiche CEE</t>
  </si>
  <si>
    <t>Conditions à respecter</t>
  </si>
  <si>
    <t>(à compléter par  )</t>
  </si>
  <si>
    <t>Voir conditions sur le devis</t>
  </si>
  <si>
    <t/>
  </si>
  <si>
    <r>
      <rPr>
        <rFont val="Calibri"/>
        <color theme="1"/>
        <sz val="14.0"/>
      </rPr>
      <t>au bénéfice de</t>
    </r>
    <r>
      <rPr>
        <rFont val="Calibri"/>
        <b/>
        <color theme="1"/>
        <sz val="14.0"/>
      </rPr>
      <t> (informations à compléter par le Professionnel)</t>
    </r>
    <r>
      <rPr>
        <rFont val="Calibri"/>
        <color theme="1"/>
        <sz val="14.0"/>
      </rPr>
      <t> :</t>
    </r>
  </si>
  <si>
    <t xml:space="preserve">Nom: </t>
  </si>
  <si>
    <t xml:space="preserve">Adresse : </t>
  </si>
  <si>
    <t>N° parcelle cadastrale</t>
  </si>
  <si>
    <t xml:space="preserve">Téléphone : </t>
  </si>
  <si>
    <t xml:space="preserve">Mail : </t>
  </si>
  <si>
    <t>La contribution indiquée ci-dessus est soumise au respect de la règlementation applicable dans le cadre du dispositif des CEE et ce montant 
estimatif pourra évoluer notamment en fonction des éléments suivants, ce que vous reconnaissez et acceptez expressément</t>
  </si>
  <si>
    <t>*changement de la valorisation des CEE</t>
  </si>
  <si>
    <t>*modifications des informations fournies (travaux réalisé, situation fiscaledu ménage, etc.);</t>
  </si>
  <si>
    <t>*non respect des dates d'engagement et/ou d'achèvement prévues par la réglementation CEE;</t>
  </si>
  <si>
    <t>*non-réalisation, de votre fait, d'un éventuel contrôle de la conformité des travaux par un tiers indépendant;</t>
  </si>
  <si>
    <t>*non respect des délais prévus contractuellement (devis ou courrier d'offre)</t>
  </si>
  <si>
    <t>Par conséquent vous ne sauriez prétendre à aucune indemnité de quelque nature que ce soit dans
l'hypothèse où le montant définitif de la prime serait différent du montant estimatif communiqué dans le
présent document ou si aucune prime ne vous était finalement versée en cas de non-respect d'une des 
conditions susmentionnées.</t>
  </si>
  <si>
    <r>
      <rPr>
        <rFont val="Calibri"/>
        <color theme="1"/>
        <sz val="18.0"/>
      </rPr>
      <t xml:space="preserve">Date et signature </t>
    </r>
    <r>
      <rPr>
        <rFont val="Calibri"/>
        <b/>
        <color theme="1"/>
        <sz val="18.0"/>
      </rPr>
      <t>du bénéficiaire</t>
    </r>
  </si>
  <si>
    <t xml:space="preserve"> Date de cette proposition  : </t>
  </si>
  <si>
    <r>
      <rPr>
        <rFont val="Calibri"/>
        <color theme="1"/>
        <sz val="18.0"/>
      </rPr>
      <t xml:space="preserve">Signature </t>
    </r>
    <r>
      <rPr>
        <rFont val="Calibri"/>
        <b/>
        <color theme="1"/>
        <sz val="18.0"/>
      </rPr>
      <t>du partenaire</t>
    </r>
  </si>
  <si>
    <t xml:space="preserve">        Faites réaliser plusieurs devis afin de prendre une décision éclairée. Attention, seules les propositions remises avant l'acceptation du devis 
ou du bon de commande sont valables, et vous ne pouvez pas cumuler plusieurs offres CEE différentes pour la même opération.</t>
  </si>
  <si>
    <r>
      <rPr>
        <rFont val="Calibri"/>
        <color theme="1"/>
        <sz val="18.0"/>
      </rPr>
      <t xml:space="preserve">       Seul le professionnel est responsable de la conformité des travaux que vous lui confiez. Vérifiez ses qualifications techniques et l'éligibilité 
des produits proposés avant d'engager vos travaux. Un contrôle des travaux effectués dans votre logement pourra être réalisé sur demande de 
</t>
    </r>
    <r>
      <rPr>
        <rFont val="Calibri"/>
        <b/>
        <color theme="1"/>
        <sz val="18.0"/>
      </rPr>
      <t>TotalEnergies Marketing France</t>
    </r>
    <r>
      <rPr>
        <rFont val="Calibri"/>
        <color theme="1"/>
        <sz val="18.0"/>
      </rPr>
      <t xml:space="preserve"> ou des autorités publiques</t>
    </r>
  </si>
  <si>
    <t xml:space="preserve">  </t>
  </si>
  <si>
    <t>Nombres de m² Combles:</t>
  </si>
  <si>
    <t>Nombres de m² Rampants:</t>
  </si>
  <si>
    <t>Nombres de m²Plancher bas:</t>
  </si>
  <si>
    <t xml:space="preserve">Nombres de m² Ravals </t>
  </si>
  <si>
    <t>FICHE PRODUITS</t>
  </si>
  <si>
    <t xml:space="preserve">Chantier: </t>
  </si>
  <si>
    <t>Quantité prévue</t>
  </si>
  <si>
    <t>Quantité posée</t>
  </si>
  <si>
    <t>ISOLANTS :</t>
  </si>
  <si>
    <t>M²</t>
  </si>
  <si>
    <t>M3</t>
  </si>
  <si>
    <t>Epaisseur</t>
  </si>
  <si>
    <t>Ouate de cellulose Combles</t>
  </si>
  <si>
    <t>Ouate de cellulose Rampants</t>
  </si>
  <si>
    <t>Ouate de cellulose Ravals</t>
  </si>
  <si>
    <t>Ouate de cellulose Murs</t>
  </si>
  <si>
    <t>Ouate de cellulose Plancher</t>
  </si>
  <si>
    <t xml:space="preserve">Laine de roche JETROCK </t>
  </si>
  <si>
    <t>Laine de roche Murs ROSKins001</t>
  </si>
  <si>
    <t>Laine de roche ROCKMUR Kraft</t>
  </si>
  <si>
    <t xml:space="preserve">Laine de roche ROCKFEU REI Natural </t>
  </si>
  <si>
    <t>Laine de verre ISOCONFORT 35  Kraft</t>
  </si>
  <si>
    <t>Laine de verre IBR Kraft</t>
  </si>
  <si>
    <t>Laine de verre GR32 kraft</t>
  </si>
  <si>
    <t xml:space="preserve">Laine de verre PANODAL ALU </t>
  </si>
  <si>
    <t>XPS</t>
  </si>
  <si>
    <t>Autres …</t>
  </si>
  <si>
    <t>CHEVILLES/FIXATIONS</t>
  </si>
  <si>
    <t>MEMBRANES :</t>
  </si>
  <si>
    <t>ML</t>
  </si>
  <si>
    <t>Pare-Vent</t>
  </si>
  <si>
    <t>Pare-Vapeur</t>
  </si>
  <si>
    <t xml:space="preserve"> + Adhesifs </t>
  </si>
  <si>
    <t>SECURITE :</t>
  </si>
  <si>
    <t>UNITE</t>
  </si>
  <si>
    <t>Caisson Ecart au Feu / Protection des Conduits</t>
  </si>
  <si>
    <t>Capots de Spot</t>
  </si>
  <si>
    <t>Réhausse du cadre de trémie: (taille/modèle)</t>
  </si>
  <si>
    <t>Isolation de la Trappe</t>
  </si>
  <si>
    <t>Jauge épaisseur</t>
  </si>
  <si>
    <t>oui</t>
  </si>
  <si>
    <t xml:space="preserve">Repères élèctriques </t>
  </si>
  <si>
    <t>Chemin de visite (OSB déligné)</t>
  </si>
  <si>
    <t>BOIS :</t>
  </si>
  <si>
    <t>M²/ ML</t>
  </si>
  <si>
    <t>Solives 20/4</t>
  </si>
  <si>
    <t>Solives 20/2</t>
  </si>
  <si>
    <t>Chevrons</t>
  </si>
  <si>
    <t>Liteaux</t>
  </si>
  <si>
    <t>OSB</t>
  </si>
  <si>
    <t>N°1301-SD</t>
  </si>
  <si>
    <t>DIRECTION GENERALE DES FINANCES PUBLIQUES</t>
  </si>
  <si>
    <t>N°13948*05</t>
  </si>
  <si>
    <r>
      <rPr>
        <rFont val="Calibri"/>
        <b/>
        <color theme="1"/>
        <sz val="18.0"/>
      </rPr>
      <t xml:space="preserve">ATTESTATION SIMPLIFIEE </t>
    </r>
    <r>
      <rPr>
        <rFont val="Arial"/>
        <b/>
        <color theme="1"/>
        <sz val="18.0"/>
      </rPr>
      <t>¹</t>
    </r>
  </si>
  <si>
    <t>(09-2016)</t>
  </si>
  <si>
    <r>
      <rPr>
        <rFont val="Wingdings 2"/>
        <b/>
        <color theme="1"/>
        <sz val="14.0"/>
      </rPr>
      <t>j</t>
    </r>
    <r>
      <rPr>
        <rFont val="Calibri"/>
        <b/>
        <color theme="1"/>
        <sz val="14.0"/>
      </rPr>
      <t xml:space="preserve"> IDENTITÉ DU CLIENT OU DE SON REPRÉSENTANT :</t>
    </r>
  </si>
  <si>
    <t>Je soussigné(e) :</t>
  </si>
  <si>
    <t>Nom :</t>
  </si>
  <si>
    <t>Prénom :</t>
  </si>
  <si>
    <t xml:space="preserve">Adresse: </t>
  </si>
  <si>
    <t xml:space="preserve">Code postal :………… </t>
  </si>
  <si>
    <t>Commune</t>
  </si>
  <si>
    <r>
      <rPr>
        <rFont val="Wingdings 2"/>
        <b/>
        <color theme="1"/>
        <sz val="14.0"/>
      </rPr>
      <t>k</t>
    </r>
    <r>
      <rPr>
        <rFont val="Calibri"/>
        <b/>
        <color theme="1"/>
        <sz val="14.0"/>
      </rPr>
      <t xml:space="preserve"> NATURE DES LOCAUX</t>
    </r>
  </si>
  <si>
    <t>J’atteste que les travaux à réaliser portent sur un immeuble achevé depuis plus de deux ans à la date de commencement des travaux et</t>
  </si>
  <si>
    <t>affecté à l’habitation à l’issue de ces travaux :</t>
  </si>
  <si>
    <r>
      <rPr>
        <rFont val="Wingdings 2"/>
        <i val="0"/>
        <color theme="1"/>
        <sz val="14.0"/>
      </rPr>
      <t>R</t>
    </r>
    <r>
      <rPr>
        <rFont val="Calibri"/>
        <i/>
        <color theme="1"/>
        <sz val="14.0"/>
      </rPr>
      <t xml:space="preserve"> maison ou immeuble individuel</t>
    </r>
  </si>
  <si>
    <r>
      <rPr>
        <rFont val="Wingdings"/>
        <i val="0"/>
        <color theme="1"/>
        <sz val="14.0"/>
      </rPr>
      <t>o</t>
    </r>
    <r>
      <rPr>
        <rFont val="Calibri"/>
        <i/>
        <color theme="1"/>
        <sz val="14.0"/>
      </rPr>
      <t xml:space="preserve"> immeuble collectif</t>
    </r>
  </si>
  <si>
    <r>
      <rPr>
        <rFont val="Wingdings"/>
        <i val="0"/>
        <color theme="1"/>
        <sz val="14.0"/>
      </rPr>
      <t>o</t>
    </r>
    <r>
      <rPr>
        <rFont val="Calibri"/>
        <i/>
        <color theme="1"/>
        <sz val="14.0"/>
      </rPr>
      <t xml:space="preserve"> appartement individuel</t>
    </r>
  </si>
  <si>
    <r>
      <rPr>
        <rFont val="Wingdings"/>
        <i val="0"/>
        <color theme="1"/>
        <sz val="14.0"/>
      </rPr>
      <t>o</t>
    </r>
    <r>
      <rPr>
        <rFont val="Calibri"/>
        <i/>
        <color theme="1"/>
        <sz val="14.0"/>
      </rPr>
      <t>autre (précisez la nature du local à usage d’habitation) ……………………………………………………………………</t>
    </r>
  </si>
  <si>
    <t>Les travaux sont réalisés dans :</t>
  </si>
  <si>
    <r>
      <rPr>
        <rFont val="Wingdings 2"/>
        <i val="0"/>
        <color theme="1"/>
        <sz val="14.0"/>
      </rPr>
      <t>R</t>
    </r>
    <r>
      <rPr>
        <rFont val="Calibri"/>
        <i/>
        <color theme="1"/>
        <sz val="14.0"/>
      </rPr>
      <t xml:space="preserve"> un local affecté exclusivement ou principalement à l’habitation</t>
    </r>
  </si>
  <si>
    <r>
      <rPr>
        <rFont val="Wingdings"/>
        <i val="0"/>
        <color theme="1"/>
        <sz val="14.0"/>
      </rPr>
      <t>o</t>
    </r>
    <r>
      <rPr>
        <rFont val="Calibri"/>
        <i/>
        <color theme="1"/>
        <sz val="14.0"/>
      </rPr>
      <t xml:space="preserve"> des pièces affectées exclusivement à l’habitation situées dans un local affecté pour moins de 50 % à cet usage</t>
    </r>
  </si>
  <si>
    <r>
      <rPr>
        <rFont val="Wingdings"/>
        <i val="0"/>
        <color theme="1"/>
        <sz val="14.0"/>
      </rPr>
      <t>o</t>
    </r>
    <r>
      <rPr>
        <rFont val="Calibri"/>
        <i/>
        <color theme="1"/>
        <sz val="14.0"/>
      </rPr>
      <t xml:space="preserve"> des parties communes de locaux affectés exclusivement ou principalement à l’habitation dans une proportion de (……………….)</t>
    </r>
  </si>
  <si>
    <t>millièmes de l’immeuble</t>
  </si>
  <si>
    <r>
      <rPr>
        <rFont val="Wingdings"/>
        <i val="0"/>
        <color theme="1"/>
        <sz val="14.0"/>
      </rPr>
      <t>o</t>
    </r>
    <r>
      <rPr>
        <rFont val="Calibri"/>
        <i/>
        <color theme="1"/>
        <sz val="14.0"/>
      </rPr>
      <t xml:space="preserve"> un local antérieurement affecté à un usage autre que d’habitation et transformé à cet usage</t>
    </r>
  </si>
  <si>
    <t>Adresse²:………………………………………………Commune………………………………..Code postal :………</t>
  </si>
  <si>
    <r>
      <rPr>
        <rFont val="Calibri"/>
        <i/>
        <color theme="1"/>
        <sz val="14.0"/>
      </rPr>
      <t xml:space="preserve">dont je suis : </t>
    </r>
    <r>
      <rPr>
        <rFont val="Wingdings 2"/>
        <i val="0"/>
        <color theme="1"/>
        <sz val="14.0"/>
      </rPr>
      <t>R</t>
    </r>
    <r>
      <rPr>
        <rFont val="Calibri"/>
        <i/>
        <color theme="1"/>
        <sz val="14.0"/>
      </rPr>
      <t xml:space="preserve">propriétaire </t>
    </r>
    <r>
      <rPr>
        <rFont val="Wingdings 2"/>
        <i val="0"/>
        <color theme="1"/>
        <sz val="14.0"/>
      </rPr>
      <t>£</t>
    </r>
    <r>
      <rPr>
        <rFont val="Calibri"/>
        <i/>
        <color theme="1"/>
        <sz val="14.0"/>
      </rPr>
      <t xml:space="preserve">locataire </t>
    </r>
    <r>
      <rPr>
        <rFont val="Wingdings 2"/>
        <i val="0"/>
        <color theme="1"/>
        <sz val="14.0"/>
      </rPr>
      <t>£</t>
    </r>
    <r>
      <rPr>
        <rFont val="Calibri"/>
        <i/>
        <color theme="1"/>
        <sz val="14.0"/>
      </rPr>
      <t xml:space="preserve"> autre (précisez votre qualité) :………………………………</t>
    </r>
  </si>
  <si>
    <r>
      <rPr>
        <rFont val="Wingdings 2"/>
        <b/>
        <color theme="1"/>
        <sz val="14.0"/>
      </rPr>
      <t>l</t>
    </r>
    <r>
      <rPr>
        <rFont val="Calibri"/>
        <b/>
        <color theme="1"/>
        <sz val="14.0"/>
      </rPr>
      <t xml:space="preserve"> NATURE DES TRAVAUX</t>
    </r>
  </si>
  <si>
    <t>J’atteste que sur la période de deux ans précédant ou suivant la réalisation des travaux décrits dans la présente attestation, les</t>
  </si>
  <si>
    <t>travaux :</t>
  </si>
  <si>
    <r>
      <rPr>
        <rFont val="Wingdings 2"/>
        <color theme="1"/>
        <sz val="14.0"/>
      </rPr>
      <t>R</t>
    </r>
    <r>
      <rPr>
        <rFont val="Calibri"/>
        <color theme="1"/>
        <sz val="14.0"/>
      </rPr>
      <t xml:space="preserve"> n’affectent ni les fondations, ni les éléments, hors fondations, déterminant la résistance et la rigidité de l’ouvrage, ni la</t>
    </r>
  </si>
  <si>
    <t>consistance des façades (hors ravalement).</t>
  </si>
  <si>
    <r>
      <rPr>
        <rFont val="Wingdings 2"/>
        <color theme="1"/>
        <sz val="14.0"/>
      </rPr>
      <t>R</t>
    </r>
    <r>
      <rPr>
        <rFont val="Calibri"/>
        <color theme="1"/>
        <sz val="14.0"/>
      </rPr>
      <t>n’affectent pas plus de cinq des six éléments de second œuvre suivants :</t>
    </r>
  </si>
  <si>
    <r>
      <rPr>
        <rFont val="Calibri"/>
        <b/>
        <color theme="1"/>
        <sz val="14.0"/>
      </rPr>
      <t xml:space="preserve">Cochez les cases correspondant aux éléments affectés : </t>
    </r>
    <r>
      <rPr>
        <rFont val="Wingdings"/>
        <b/>
        <color theme="1"/>
        <sz val="14.0"/>
      </rPr>
      <t xml:space="preserve">o </t>
    </r>
    <r>
      <rPr>
        <rFont val="Calibri"/>
        <b/>
        <color theme="1"/>
        <sz val="14.0"/>
      </rPr>
      <t>planchers qui ne déterminent pas la résistance ou la rigidité de</t>
    </r>
  </si>
  <si>
    <r>
      <rPr>
        <rFont val="Calibri"/>
        <b/>
        <color theme="1"/>
        <sz val="14.0"/>
      </rPr>
      <t xml:space="preserve">l’ouvrage </t>
    </r>
    <r>
      <rPr>
        <rFont val="Wingdings"/>
        <b/>
        <color theme="1"/>
        <sz val="14.0"/>
      </rPr>
      <t>o</t>
    </r>
    <r>
      <rPr>
        <rFont val="Calibri"/>
        <b/>
        <color theme="1"/>
        <sz val="14.0"/>
      </rPr>
      <t xml:space="preserve"> huisseries extérieures </t>
    </r>
    <r>
      <rPr>
        <rFont val="Wingdings 2"/>
        <b/>
        <color theme="1"/>
        <sz val="14.0"/>
      </rPr>
      <t>R</t>
    </r>
    <r>
      <rPr>
        <rFont val="Calibri"/>
        <b/>
        <color theme="1"/>
        <sz val="14.0"/>
      </rPr>
      <t xml:space="preserve">cloisons intérieures </t>
    </r>
    <r>
      <rPr>
        <rFont val="Wingdings"/>
        <b/>
        <color theme="1"/>
        <sz val="14.0"/>
      </rPr>
      <t>o</t>
    </r>
    <r>
      <rPr>
        <rFont val="Calibri"/>
        <b/>
        <color theme="1"/>
        <sz val="14.0"/>
      </rPr>
      <t xml:space="preserve"> installations sanitaires et de plomberie </t>
    </r>
    <r>
      <rPr>
        <rFont val="Wingdings"/>
        <b/>
        <color theme="1"/>
        <sz val="14.0"/>
      </rPr>
      <t>o</t>
    </r>
    <r>
      <rPr>
        <rFont val="Calibri"/>
        <b/>
        <color theme="1"/>
        <sz val="14.0"/>
      </rPr>
      <t xml:space="preserve"> installations électriques</t>
    </r>
  </si>
  <si>
    <r>
      <rPr>
        <rFont val="Wingdings"/>
        <b/>
        <color theme="1"/>
        <sz val="14.0"/>
      </rPr>
      <t xml:space="preserve">o </t>
    </r>
    <r>
      <rPr>
        <rFont val="Calibri"/>
        <b/>
        <color theme="1"/>
        <sz val="14.0"/>
      </rPr>
      <t>système de chauffage (pour les immeubles situés en métropole)</t>
    </r>
  </si>
  <si>
    <t>NB : tous autres travaux sont sans incidence sur le bénéfice du taux réduit.</t>
  </si>
  <si>
    <r>
      <rPr>
        <rFont val="Wingdings 2"/>
        <color theme="1"/>
        <sz val="14.0"/>
      </rPr>
      <t>R</t>
    </r>
    <r>
      <rPr>
        <rFont val="Calibri"/>
        <color theme="1"/>
        <sz val="14.0"/>
      </rPr>
      <t xml:space="preserve"> n’entraînent pas une augmentation de la surface de plancher de la construction existante supérieure à 10 %.</t>
    </r>
  </si>
  <si>
    <r>
      <rPr>
        <rFont val="Wingdings 2"/>
        <color theme="1"/>
        <sz val="14.0"/>
      </rPr>
      <t>R</t>
    </r>
    <r>
      <rPr>
        <rFont val="Calibri"/>
        <color theme="1"/>
        <sz val="14.0"/>
      </rPr>
      <t xml:space="preserve"> ne consistent pas en une surélévation ou une addition de construction.</t>
    </r>
  </si>
  <si>
    <r>
      <rPr>
        <rFont val="Wingdings 2"/>
        <color theme="1"/>
        <sz val="14.0"/>
      </rPr>
      <t>R</t>
    </r>
    <r>
      <rPr>
        <rFont val="Calibri"/>
        <color theme="1"/>
        <sz val="14.0"/>
      </rPr>
      <t xml:space="preserve"> J’atteste que les travaux visent à améliorer la qualité énergétique du logement et portent sur la fourniture, la pose, l’installation ou</t>
    </r>
  </si>
  <si>
    <t>l’entretien des matériaux, appareils et équipements dont la liste figure dans la notice (1 de l’article 200 quater du code général des</t>
  </si>
  <si>
    <t>impôts – CGI) et respectent les caractéristiques techniques et les critères de performances minimales fixés par un arrêté du ministre</t>
  </si>
  <si>
    <t>du budget (article 18 bis de l’annexe IV au CGI).</t>
  </si>
  <si>
    <r>
      <rPr>
        <rFont val="Wingdings 2"/>
        <color theme="1"/>
        <sz val="14.0"/>
      </rPr>
      <t>R</t>
    </r>
    <r>
      <rPr>
        <rFont val="Calibri"/>
        <color theme="1"/>
        <sz val="14.0"/>
      </rPr>
      <t xml:space="preserve"> J’atteste que les travaux ont la nature de travaux induits indissociablement liés à des travaux d’amélioration de la qualité</t>
    </r>
  </si>
  <si>
    <t>énergétique soumis au taux de TVA de 5,5 %.</t>
  </si>
  <si>
    <r>
      <rPr>
        <rFont val="Wingdings 2"/>
        <b/>
        <color theme="1"/>
        <sz val="14.0"/>
      </rPr>
      <t>m</t>
    </r>
    <r>
      <rPr>
        <rFont val="Calibri"/>
        <b/>
        <color theme="1"/>
        <sz val="14.0"/>
      </rPr>
      <t xml:space="preserve"> CONSERVATION DE L’ATTESTATION ET DES PIÈCES JUSTIFICATIVES</t>
    </r>
  </si>
  <si>
    <t>Je conserve une copie de cette attestation ainsi que de toutes les factures ou notes émises par les entreprises prestataires jusqu’au</t>
  </si>
  <si>
    <t>31 décembre de la cinquième année suivant la réalisation des travaux et m’engage à en produire une copie à l’administration fiscale</t>
  </si>
  <si>
    <t>sur sa demande.</t>
  </si>
  <si>
    <t>Si les mentions portées sur l’attestation s’avèrent inexactes de votre fait et ont eu pour conséquence l’application erronée du taux</t>
  </si>
  <si>
    <t>réduit de la TVA, vous êtes solidairement tenu au paiement du complément de taxe résultant de la différence entre le montant de la</t>
  </si>
  <si>
    <t>taxe due (TVA au taux de 20 % ou 10 %) et le montant de la TVA effectivement payé au taux de :</t>
  </si>
  <si>
    <t xml:space="preserve">     - 10 % pour les travaux d’amélioration, de transformation, d’aménagement et d’entretien portant sur des locaux à usage</t>
  </si>
  <si>
    <t xml:space="preserve">     d’habitation achevés depuis plus de 2 ans ;</t>
  </si>
  <si>
    <t xml:space="preserve">     -  5,5 % pour les travaux d’amélioration de la qualité énergétique des locaux à usage d’habitation achevés depuis plus de 2 ans</t>
  </si>
  <si>
    <t xml:space="preserve">      ainsi que sur les travaux induits qui leur sont indissociablement liés</t>
  </si>
  <si>
    <t>Fait à CHATEAULIN, le</t>
  </si>
  <si>
    <t>Signature du client ou de son représentant :</t>
  </si>
  <si>
    <r>
      <rPr>
        <rFont val="Arial"/>
        <color theme="1"/>
        <sz val="9.0"/>
      </rPr>
      <t>¹</t>
    </r>
    <r>
      <rPr>
        <rFont val="Calibri"/>
        <color theme="1"/>
        <sz val="9.0"/>
      </rPr>
      <t xml:space="preserve">Pour remplir cette attestation, cochez les cases correspondant à votre situation et complétez les rubriques en pointillés. Vous pouvez vous aider de la notice explicative. </t>
    </r>
  </si>
  <si>
    <r>
      <rPr>
        <rFont val="Calibri"/>
        <color theme="1"/>
        <sz val="9.0"/>
      </rPr>
      <t xml:space="preserve">² Si différente de l’adresse indiquée dans le cadre </t>
    </r>
    <r>
      <rPr>
        <rFont val="Wingdings 2"/>
        <color theme="1"/>
        <sz val="9.0"/>
      </rPr>
      <t>j</t>
    </r>
    <r>
      <rPr>
        <rFont val="Calibri"/>
        <color theme="1"/>
        <sz val="9.0"/>
      </rPr>
      <t>.</t>
    </r>
  </si>
  <si>
    <t>n° de la proposition</t>
  </si>
  <si>
    <t>PR</t>
  </si>
  <si>
    <t>Date de la proposition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</si>
</sst>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 [$€-40C]_-;\-* #,##0.00\ [$€-40C]_-;_-* &quot;-&quot;??\ [$€-40C]_-;_-@"/>
    <numFmt numFmtId="165" formatCode="0#&quot; &quot;##&quot; &quot;##&quot; &quot;##&quot; &quot;##"/>
  </numFmts>
  <fonts count="43">
    <font>
      <sz val="11.0"/>
      <color theme="1"/>
      <name val="Calibri"/>
      <scheme val="minor"/>
    </font>
    <font>
      <sz val="10.0"/>
      <color theme="1"/>
      <name val="Arial"/>
    </font>
    <font>
      <b/>
      <sz val="20.0"/>
      <color theme="1"/>
      <name val="Arial"/>
    </font>
    <font/>
    <font>
      <u/>
      <sz val="10.0"/>
      <color theme="1"/>
      <name val="Arial"/>
    </font>
    <font>
      <u/>
      <sz val="10.0"/>
      <color theme="1"/>
      <name val="Arial"/>
    </font>
    <font>
      <b/>
      <sz val="10.0"/>
      <color theme="1"/>
      <name val="Arial"/>
    </font>
    <font>
      <b/>
      <sz val="11.0"/>
      <color theme="1"/>
      <name val="Calibri"/>
    </font>
    <font>
      <u/>
      <sz val="11.0"/>
      <color theme="10"/>
      <name val="Calibri"/>
    </font>
    <font>
      <sz val="11.0"/>
      <color theme="1"/>
      <name val="Calibri"/>
    </font>
    <font>
      <sz val="11.0"/>
      <color theme="1"/>
      <name val="Arial"/>
    </font>
    <font>
      <b/>
      <sz val="12.0"/>
      <color theme="1"/>
      <name val="Calibri"/>
    </font>
    <font>
      <sz val="11.0"/>
      <color rgb="FF0070C0"/>
      <name val="Calibri"/>
    </font>
    <font>
      <b/>
      <u/>
      <sz val="16.0"/>
      <color rgb="FF404040"/>
      <name val="Calibri"/>
    </font>
    <font>
      <b/>
      <sz val="20.0"/>
      <color theme="1"/>
      <name val="Calibri"/>
    </font>
    <font>
      <sz val="18.0"/>
      <color theme="1"/>
      <name val="Calibri"/>
    </font>
    <font>
      <sz val="14.0"/>
      <color theme="1"/>
      <name val="Calibri"/>
    </font>
    <font>
      <sz val="12.0"/>
      <color theme="1"/>
      <name val="Calibri"/>
    </font>
    <font>
      <sz val="18.0"/>
      <color theme="1"/>
      <name val="Noto Sans Symbols"/>
    </font>
    <font>
      <b/>
      <sz val="18.0"/>
      <color theme="1"/>
      <name val="Calibri"/>
    </font>
    <font>
      <b/>
      <sz val="16.0"/>
      <color theme="1"/>
      <name val="Calibri"/>
    </font>
    <font>
      <sz val="18.0"/>
      <color rgb="FF000000"/>
      <name val="Calibri"/>
    </font>
    <font>
      <sz val="16.0"/>
      <color theme="1"/>
      <name val="Calibri"/>
    </font>
    <font>
      <sz val="7.0"/>
      <color theme="1"/>
      <name val="Calibri"/>
    </font>
    <font>
      <sz val="16.0"/>
      <color rgb="FF000000"/>
      <name val="Calibri"/>
    </font>
    <font>
      <sz val="10.0"/>
      <color rgb="FF000000"/>
      <name val="Calibri"/>
    </font>
    <font>
      <sz val="10.0"/>
      <color theme="1"/>
      <name val="Calibri"/>
    </font>
    <font>
      <sz val="12.0"/>
      <color rgb="FF000000"/>
      <name val="Calibri"/>
    </font>
    <font>
      <sz val="14.0"/>
      <color rgb="FF000000"/>
      <name val="Calibri"/>
    </font>
    <font>
      <b/>
      <sz val="14.0"/>
      <color rgb="FF000000"/>
      <name val="Calibri"/>
    </font>
    <font>
      <b/>
      <sz val="14.0"/>
      <color theme="1"/>
      <name val="Calibri"/>
    </font>
    <font>
      <b/>
      <sz val="12.0"/>
      <color rgb="FF002060"/>
      <name val="Calibri"/>
    </font>
    <font>
      <i/>
      <sz val="18.0"/>
      <color theme="1"/>
      <name val="Calibri"/>
    </font>
    <font>
      <i/>
      <sz val="14.0"/>
      <color theme="1"/>
      <name val="Calibri"/>
    </font>
    <font>
      <b/>
      <i/>
      <sz val="14.0"/>
      <color theme="1"/>
      <name val="Calibri"/>
    </font>
    <font>
      <b/>
      <i/>
      <sz val="9.0"/>
      <color theme="1"/>
      <name val="Calibri"/>
    </font>
    <font>
      <sz val="22.0"/>
      <color theme="1"/>
      <name val="Calibri"/>
    </font>
    <font>
      <color theme="1"/>
      <name val="Calibri"/>
      <scheme val="minor"/>
    </font>
    <font>
      <sz val="20.0"/>
      <color theme="1"/>
      <name val="Calibri"/>
    </font>
    <font>
      <b/>
      <sz val="14.0"/>
      <color rgb="FFFF0000"/>
      <name val="Calibri"/>
    </font>
    <font>
      <sz val="11.0"/>
      <color rgb="FF000000"/>
      <name val="Calibri"/>
    </font>
    <font>
      <sz val="14.0"/>
      <color theme="1"/>
      <name val="Noto Sans Symbols"/>
    </font>
    <font>
      <sz val="9.0"/>
      <color theme="1"/>
      <name val="Calibri"/>
    </font>
  </fonts>
  <fills count="9">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2F2F2"/>
        <bgColor rgb="FFF2F2F2"/>
      </patternFill>
    </fill>
    <fill>
      <patternFill patternType="solid">
        <fgColor rgb="FFF8F8F8"/>
        <bgColor rgb="FFF8F8F8"/>
      </patternFill>
    </fill>
    <fill>
      <patternFill patternType="solid">
        <fgColor rgb="FFF2DBDB"/>
        <bgColor rgb="FFF2DBDB"/>
      </patternFill>
    </fill>
    <fill>
      <patternFill patternType="solid">
        <fgColor rgb="FFC6D9F0"/>
        <bgColor rgb="FFC6D9F0"/>
      </patternFill>
    </fill>
    <fill>
      <patternFill patternType="solid">
        <fgColor rgb="FFD8D8D8"/>
        <bgColor rgb="FFD8D8D8"/>
      </patternFill>
    </fill>
  </fills>
  <borders count="111">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medium">
        <color rgb="FF000000"/>
      </lef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right style="medium">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ttom/>
    </border>
    <border>
      <right style="thin">
        <color rgb="FF000000"/>
      </right>
      <top style="thin">
        <color rgb="FF000000"/>
      </top>
      <bottom/>
    </border>
    <border>
      <right style="medium">
        <color rgb="FF000000"/>
      </right>
      <top style="thin">
        <color rgb="FF000000"/>
      </top>
      <bottom/>
    </border>
    <border>
      <left style="medium">
        <color rgb="FF000000"/>
      </left>
      <right style="thin">
        <color rgb="FF000000"/>
      </right>
      <top/>
      <bottom style="thin">
        <color rgb="FF000000"/>
      </bottom>
    </border>
    <border>
      <right style="thin">
        <color rgb="FF000000"/>
      </right>
      <bottom style="thin">
        <color rgb="FF000000"/>
      </bottom>
    </border>
    <border>
      <left/>
      <right style="medium">
        <color rgb="FF000000"/>
      </right>
      <top/>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ttom/>
    </border>
    <border>
      <left style="medium">
        <color rgb="FF000000"/>
      </left>
    </border>
    <border>
      <left style="thin">
        <color rgb="FF000000"/>
      </left>
    </border>
    <border>
      <right style="medium">
        <color rgb="FF000000"/>
      </right>
    </border>
    <border>
      <left style="medium">
        <color rgb="FF000000"/>
      </left>
      <right style="thin">
        <color rgb="FF000000"/>
      </right>
      <top style="medium">
        <color rgb="FF000000"/>
      </top>
    </border>
    <border>
      <right style="thin">
        <color rgb="FF000000"/>
      </right>
      <top style="medium">
        <color rgb="FF000000"/>
      </top>
      <bottom style="thin">
        <color rgb="FF000000"/>
      </bottom>
    </border>
    <border>
      <left style="thin">
        <color rgb="FF000000"/>
      </left>
      <right style="thin">
        <color rgb="FF000000"/>
      </right>
    </border>
    <border>
      <left style="thin">
        <color rgb="FF000000"/>
      </left>
      <right style="thin">
        <color rgb="FF000000"/>
      </right>
      <top/>
      <bottom/>
    </border>
    <border>
      <left style="thin">
        <color rgb="FF000000"/>
      </left>
      <top style="medium">
        <color rgb="FF000000"/>
      </top>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medium">
        <color rgb="FF000000"/>
      </bottom>
    </border>
    <border>
      <left style="thin">
        <color rgb="FF000000"/>
      </left>
      <right style="medium">
        <color rgb="FF000000"/>
      </right>
    </border>
    <border>
      <left style="thin">
        <color theme="0"/>
      </left>
      <right style="thin">
        <color theme="0"/>
      </right>
      <top style="thin">
        <color theme="0"/>
      </top>
      <bottom style="thin">
        <color theme="0"/>
      </bottom>
    </border>
    <border>
      <bottom style="thin">
        <color theme="0"/>
      </bottom>
    </border>
    <border>
      <right style="thin">
        <color theme="0"/>
      </right>
    </border>
    <border>
      <left style="thin">
        <color theme="0"/>
      </left>
      <top/>
      <bottom/>
    </border>
    <border>
      <top/>
      <bottom/>
    </border>
    <border>
      <right/>
      <top/>
      <bottom/>
    </border>
    <border>
      <left style="thin">
        <color rgb="FF000000"/>
      </left>
      <top/>
      <bottom style="thin">
        <color rgb="FF000000"/>
      </bottom>
    </border>
    <border>
      <right style="thin">
        <color rgb="FF000000"/>
      </right>
      <top/>
      <bottom style="thin">
        <color rgb="FF000000"/>
      </bottom>
    </border>
    <border>
      <left style="thin">
        <color rgb="FF000000"/>
      </left>
      <bottom/>
    </border>
    <border>
      <bottom/>
    </border>
    <border>
      <right style="thin">
        <color rgb="FF000000"/>
      </right>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right/>
      <top/>
      <bottom/>
    </border>
    <border>
      <left/>
      <top/>
      <bottom/>
    </border>
    <border>
      <right style="thin">
        <color rgb="FF000000"/>
      </right>
    </border>
    <border>
      <left style="medium">
        <color rgb="FF000000"/>
      </left>
      <right style="medium">
        <color rgb="FF000000"/>
      </right>
      <top style="medium">
        <color rgb="FF000000"/>
      </top>
      <bottom style="medium">
        <color rgb="FF000000"/>
      </bottom>
    </border>
    <border>
      <right style="dotted">
        <color rgb="FF000000"/>
      </right>
      <top style="medium">
        <color rgb="FF000000"/>
      </top>
      <bottom style="medium">
        <color rgb="FF000000"/>
      </bottom>
    </border>
    <border>
      <left style="dotted">
        <color rgb="FF000000"/>
      </left>
      <top style="medium">
        <color rgb="FF000000"/>
      </top>
      <bottom style="medium">
        <color rgb="FF000000"/>
      </bottom>
    </border>
    <border>
      <left style="thin">
        <color rgb="FF000000"/>
      </left>
      <right style="dotted">
        <color rgb="FF000000"/>
      </right>
      <top style="medium">
        <color rgb="FF000000"/>
      </top>
      <bottom style="medium">
        <color rgb="FF000000"/>
      </bottom>
    </border>
    <border>
      <left style="dotted">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dotted">
        <color rgb="FF000000"/>
      </right>
      <bottom style="thin">
        <color rgb="FF000000"/>
      </bottom>
    </border>
    <border>
      <left style="thin">
        <color rgb="FF000000"/>
      </left>
      <right style="medium">
        <color rgb="FF000000"/>
      </right>
      <bottom style="thin">
        <color rgb="FF000000"/>
      </bottom>
    </border>
    <border>
      <left style="thin">
        <color rgb="FF000000"/>
      </left>
      <right style="dotted">
        <color rgb="FF000000"/>
      </right>
      <top style="thin">
        <color rgb="FF000000"/>
      </top>
      <bottom style="thin">
        <color rgb="FF000000"/>
      </bottom>
    </border>
    <border>
      <left style="thin">
        <color rgb="FF000000"/>
      </left>
      <right style="dotted">
        <color rgb="FF000000"/>
      </right>
      <top style="thin">
        <color rgb="FF000000"/>
      </top>
    </border>
    <border>
      <left style="thin">
        <color rgb="FF000000"/>
      </left>
      <right style="medium">
        <color rgb="FF000000"/>
      </right>
      <top style="thin">
        <color rgb="FF000000"/>
      </top>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dotted">
        <color rgb="FF000000"/>
      </right>
      <top style="medium">
        <color rgb="FF000000"/>
      </top>
      <bottom style="thin">
        <color rgb="FF000000"/>
      </bottom>
    </border>
    <border>
      <left style="thin">
        <color rgb="FF000000"/>
      </left>
      <right style="dotted">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medium">
        <color rgb="FF000000"/>
      </top>
      <bottom style="double">
        <color rgb="FF00000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1" numFmtId="0" xfId="0" applyAlignment="1" applyBorder="1" applyFont="1">
      <alignment horizontal="center" vertical="center"/>
    </xf>
    <xf borderId="8" fillId="0" fontId="3" numFmtId="0" xfId="0" applyBorder="1" applyFont="1"/>
    <xf borderId="9" fillId="0" fontId="1" numFmtId="0" xfId="0" applyAlignment="1" applyBorder="1" applyFont="1">
      <alignment horizontal="center" vertical="center"/>
    </xf>
    <xf borderId="10" fillId="0" fontId="3" numFmtId="0" xfId="0" applyBorder="1" applyFont="1"/>
    <xf borderId="11" fillId="0" fontId="3" numFmtId="0" xfId="0" applyBorder="1" applyFont="1"/>
    <xf borderId="0" fillId="0" fontId="1" numFmtId="0" xfId="0" applyAlignment="1" applyFont="1">
      <alignment horizontal="center" vertical="center"/>
    </xf>
    <xf borderId="12" fillId="0" fontId="4" numFmtId="0" xfId="0" applyAlignment="1" applyBorder="1" applyFont="1">
      <alignment horizontal="left" vertical="center"/>
    </xf>
    <xf borderId="13" fillId="0" fontId="1" numFmtId="14" xfId="0" applyAlignment="1" applyBorder="1" applyFont="1" applyNumberFormat="1">
      <alignment horizontal="left" vertical="center"/>
    </xf>
    <xf borderId="14" fillId="0" fontId="3" numFmtId="0" xfId="0" applyBorder="1" applyFont="1"/>
    <xf borderId="15" fillId="0" fontId="5" numFmtId="0" xfId="0" applyAlignment="1" applyBorder="1" applyFont="1">
      <alignment horizontal="center" vertical="center"/>
    </xf>
    <xf borderId="16" fillId="0" fontId="3" numFmtId="0" xfId="0" applyBorder="1" applyFont="1"/>
    <xf borderId="17" fillId="0" fontId="3" numFmtId="0" xfId="0" applyBorder="1" applyFont="1"/>
    <xf borderId="18" fillId="0" fontId="1" numFmtId="0" xfId="0" applyAlignment="1" applyBorder="1" applyFont="1">
      <alignment horizontal="left" vertical="center"/>
    </xf>
    <xf borderId="19" fillId="0" fontId="6" numFmtId="0" xfId="0" applyAlignment="1" applyBorder="1" applyFont="1">
      <alignment horizontal="left" vertical="center"/>
    </xf>
    <xf borderId="2" fillId="0" fontId="6" numFmtId="0" xfId="0" applyAlignment="1" applyBorder="1" applyFont="1">
      <alignment horizontal="center" readingOrder="0" vertical="center"/>
    </xf>
    <xf borderId="2" fillId="0" fontId="6" numFmtId="0" xfId="0" applyAlignment="1" applyBorder="1" applyFont="1">
      <alignment horizontal="center" vertical="center"/>
    </xf>
    <xf borderId="20" fillId="0" fontId="1" numFmtId="0" xfId="0" applyAlignment="1" applyBorder="1" applyFont="1">
      <alignment horizontal="center"/>
    </xf>
    <xf borderId="3" fillId="0" fontId="6" numFmtId="0" xfId="0" applyAlignment="1" applyBorder="1" applyFont="1">
      <alignment horizontal="center" vertical="center"/>
    </xf>
    <xf borderId="21" fillId="0" fontId="1" numFmtId="0" xfId="0" applyAlignment="1" applyBorder="1" applyFont="1">
      <alignment vertical="center"/>
    </xf>
    <xf borderId="22" fillId="0" fontId="1" numFmtId="0" xfId="0" applyAlignment="1" applyBorder="1" applyFont="1">
      <alignment horizontal="left" vertical="center"/>
    </xf>
    <xf borderId="23" fillId="0" fontId="3" numFmtId="0" xfId="0" applyBorder="1" applyFont="1"/>
    <xf borderId="24" fillId="0" fontId="3" numFmtId="0" xfId="0" applyBorder="1" applyFont="1"/>
    <xf borderId="21" fillId="0" fontId="1" numFmtId="0" xfId="0" applyAlignment="1" applyBorder="1" applyFont="1">
      <alignment horizontal="left"/>
    </xf>
    <xf borderId="22" fillId="0" fontId="6" numFmtId="0" xfId="0" applyAlignment="1" applyBorder="1" applyFont="1">
      <alignment horizontal="left"/>
    </xf>
    <xf borderId="25" fillId="0" fontId="3" numFmtId="0" xfId="0" applyBorder="1" applyFont="1"/>
    <xf borderId="26" fillId="0" fontId="1" numFmtId="0" xfId="0" applyAlignment="1" applyBorder="1" applyFont="1">
      <alignment horizontal="center"/>
    </xf>
    <xf borderId="22" fillId="0" fontId="7" numFmtId="0" xfId="0" applyAlignment="1" applyBorder="1" applyFont="1">
      <alignment horizontal="left"/>
    </xf>
    <xf borderId="5" fillId="0" fontId="6" numFmtId="0" xfId="0" applyBorder="1" applyFont="1"/>
    <xf borderId="6" fillId="0" fontId="6" numFmtId="0" xfId="0" applyBorder="1" applyFont="1"/>
    <xf borderId="22" fillId="0" fontId="6" numFmtId="0" xfId="0" applyAlignment="1" applyBorder="1" applyFont="1">
      <alignment horizontal="left" vertical="center"/>
    </xf>
    <xf borderId="26" fillId="0" fontId="1" numFmtId="0" xfId="0" applyAlignment="1" applyBorder="1" applyFont="1">
      <alignment horizontal="right" vertical="center"/>
    </xf>
    <xf borderId="23" fillId="0" fontId="6" numFmtId="0" xfId="0" applyAlignment="1" applyBorder="1" applyFont="1">
      <alignment horizontal="left"/>
    </xf>
    <xf borderId="21" fillId="0" fontId="1" numFmtId="0" xfId="0" applyAlignment="1" applyBorder="1" applyFont="1">
      <alignment horizontal="left" vertical="center"/>
    </xf>
    <xf borderId="27" fillId="0" fontId="6" numFmtId="0" xfId="0" applyAlignment="1" applyBorder="1" applyFont="1">
      <alignment horizontal="left" vertical="center"/>
    </xf>
    <xf borderId="22" fillId="0" fontId="1" numFmtId="0" xfId="0" applyAlignment="1" applyBorder="1" applyFont="1">
      <alignment horizontal="center"/>
    </xf>
    <xf borderId="28" fillId="0" fontId="1" numFmtId="0" xfId="0" applyBorder="1" applyFont="1"/>
    <xf borderId="29" fillId="0" fontId="8" numFmtId="0" xfId="0" applyAlignment="1" applyBorder="1" applyFont="1">
      <alignment horizontal="left"/>
    </xf>
    <xf borderId="30" fillId="0" fontId="3" numFmtId="0" xfId="0" applyBorder="1" applyFont="1"/>
    <xf borderId="29" fillId="0" fontId="1" numFmtId="0" xfId="0" applyAlignment="1" applyBorder="1" applyFont="1">
      <alignment horizontal="center" vertical="center"/>
    </xf>
    <xf borderId="31" fillId="0" fontId="1" numFmtId="0" xfId="0" applyAlignment="1" applyBorder="1" applyFont="1">
      <alignment horizontal="center" vertical="center"/>
    </xf>
    <xf borderId="31" fillId="0" fontId="3" numFmtId="0" xfId="0" applyBorder="1" applyFont="1"/>
    <xf borderId="32" fillId="0" fontId="3" numFmtId="0" xfId="0" applyBorder="1" applyFont="1"/>
    <xf borderId="28" fillId="0" fontId="1" numFmtId="0" xfId="0" applyAlignment="1" applyBorder="1" applyFont="1">
      <alignment horizontal="left" vertical="top"/>
    </xf>
    <xf borderId="29" fillId="0" fontId="6" numFmtId="0" xfId="0" applyAlignment="1" applyBorder="1" applyFont="1">
      <alignment horizontal="center"/>
    </xf>
    <xf borderId="33" fillId="0" fontId="3" numFmtId="0" xfId="0" applyBorder="1" applyFont="1"/>
    <xf borderId="34" fillId="0" fontId="3" numFmtId="0" xfId="0" applyBorder="1" applyFont="1"/>
    <xf borderId="35" fillId="0" fontId="6" numFmtId="0" xfId="0" applyAlignment="1" applyBorder="1" applyFont="1">
      <alignment horizontal="center"/>
    </xf>
    <xf borderId="36" fillId="0" fontId="3" numFmtId="0" xfId="0" applyBorder="1" applyFont="1"/>
    <xf borderId="37" fillId="0" fontId="3" numFmtId="0" xfId="0" applyBorder="1" applyFont="1"/>
    <xf borderId="18" fillId="0" fontId="1" numFmtId="0" xfId="0" applyAlignment="1" applyBorder="1" applyFont="1">
      <alignment vertical="center"/>
    </xf>
    <xf borderId="38" fillId="2" fontId="1" numFmtId="0" xfId="0" applyAlignment="1" applyBorder="1" applyFill="1" applyFont="1">
      <alignment horizontal="center" vertical="center"/>
    </xf>
    <xf borderId="39" fillId="0" fontId="1" numFmtId="0" xfId="0" applyAlignment="1" applyBorder="1" applyFont="1">
      <alignment vertical="center"/>
    </xf>
    <xf borderId="39" fillId="0" fontId="1" numFmtId="0" xfId="0" applyAlignment="1" applyBorder="1" applyFont="1">
      <alignment horizontal="left" shrinkToFit="0" vertical="center" wrapText="1"/>
    </xf>
    <xf borderId="40" fillId="0" fontId="3" numFmtId="0" xfId="0" applyBorder="1" applyFont="1"/>
    <xf borderId="41" fillId="0" fontId="1" numFmtId="0" xfId="0" applyAlignment="1" applyBorder="1" applyFont="1">
      <alignment horizontal="left" vertical="center"/>
    </xf>
    <xf borderId="42" fillId="0" fontId="1" numFmtId="0" xfId="0" applyAlignment="1" applyBorder="1" applyFont="1">
      <alignment horizontal="center" vertical="center"/>
    </xf>
    <xf borderId="43" fillId="2" fontId="1" numFmtId="0" xfId="0" applyAlignment="1" applyBorder="1" applyFont="1">
      <alignment horizontal="center" vertical="center"/>
    </xf>
    <xf borderId="44" fillId="0" fontId="3" numFmtId="0" xfId="0" applyBorder="1" applyFont="1"/>
    <xf borderId="45" fillId="0" fontId="3" numFmtId="0" xfId="0" applyBorder="1" applyFont="1"/>
    <xf borderId="21" fillId="0" fontId="9" numFmtId="0" xfId="0" applyBorder="1" applyFont="1"/>
    <xf borderId="22" fillId="0" fontId="9" numFmtId="0" xfId="0" applyAlignment="1" applyBorder="1" applyFont="1">
      <alignment horizontal="center"/>
    </xf>
    <xf borderId="23" fillId="0" fontId="9" numFmtId="0" xfId="0" applyBorder="1" applyFont="1"/>
    <xf borderId="24" fillId="0" fontId="9" numFmtId="0" xfId="0" applyBorder="1" applyFont="1"/>
    <xf borderId="46" fillId="3" fontId="1" numFmtId="0" xfId="0" applyAlignment="1" applyBorder="1" applyFill="1" applyFont="1">
      <alignment horizontal="center" vertical="center"/>
    </xf>
    <xf borderId="5" fillId="0" fontId="1" numFmtId="0" xfId="0" applyAlignment="1" applyBorder="1" applyFont="1">
      <alignment horizontal="center" vertical="center"/>
    </xf>
    <xf borderId="47" fillId="0" fontId="3" numFmtId="0" xfId="0" applyBorder="1" applyFont="1"/>
    <xf borderId="27" fillId="0" fontId="1" numFmtId="0" xfId="0" applyAlignment="1" applyBorder="1" applyFont="1">
      <alignment horizontal="center" vertical="center"/>
    </xf>
    <xf borderId="48" fillId="3" fontId="1" numFmtId="0" xfId="0" applyAlignment="1" applyBorder="1" applyFont="1">
      <alignment horizontal="center" vertical="center"/>
    </xf>
    <xf borderId="28" fillId="0" fontId="1" numFmtId="0" xfId="0" applyAlignment="1" applyBorder="1" applyFont="1">
      <alignment horizontal="left" vertical="center"/>
    </xf>
    <xf borderId="31" fillId="0" fontId="6" numFmtId="0" xfId="0" applyAlignment="1" applyBorder="1" applyFont="1">
      <alignment horizontal="left" vertical="center"/>
    </xf>
    <xf borderId="0" fillId="0" fontId="7" numFmtId="0" xfId="0" applyAlignment="1" applyFont="1">
      <alignment horizontal="center" vertical="center"/>
    </xf>
    <xf borderId="32" fillId="0" fontId="1" numFmtId="0" xfId="0" applyAlignment="1" applyBorder="1" applyFont="1">
      <alignment horizontal="left" vertical="center"/>
    </xf>
    <xf borderId="28" fillId="0" fontId="1" numFmtId="0" xfId="0" applyAlignment="1" applyBorder="1" applyFont="1">
      <alignment vertical="center"/>
    </xf>
    <xf borderId="26" fillId="2" fontId="1" numFmtId="0" xfId="0" applyAlignment="1" applyBorder="1" applyFont="1">
      <alignment horizontal="center" vertical="center"/>
    </xf>
    <xf borderId="26" fillId="0" fontId="1" numFmtId="0" xfId="0" applyAlignment="1" applyBorder="1" applyFont="1">
      <alignment horizontal="center" vertical="center"/>
    </xf>
    <xf borderId="32" fillId="0" fontId="1" numFmtId="0" xfId="0" applyAlignment="1" applyBorder="1" applyFont="1">
      <alignment horizontal="center" shrinkToFit="0" vertical="center" wrapText="1"/>
    </xf>
    <xf borderId="49" fillId="0" fontId="1" numFmtId="0" xfId="0" applyAlignment="1" applyBorder="1" applyFont="1">
      <alignment vertical="center"/>
    </xf>
    <xf borderId="50" fillId="2" fontId="1" numFmtId="0" xfId="0" applyAlignment="1" applyBorder="1" applyFont="1">
      <alignment horizontal="center" vertical="center"/>
    </xf>
    <xf borderId="41" fillId="0" fontId="1" numFmtId="0" xfId="0" applyAlignment="1" applyBorder="1" applyFont="1">
      <alignment vertical="center"/>
    </xf>
    <xf borderId="22" fillId="0" fontId="1" numFmtId="0" xfId="0" applyAlignment="1" applyBorder="1" applyFont="1">
      <alignment vertical="center"/>
    </xf>
    <xf borderId="22" fillId="0" fontId="6" numFmtId="0" xfId="0" applyBorder="1" applyFont="1"/>
    <xf borderId="22" fillId="0" fontId="10" numFmtId="0" xfId="0" applyAlignment="1" applyBorder="1" applyFont="1">
      <alignment horizontal="center" vertical="center"/>
    </xf>
    <xf borderId="22" fillId="0" fontId="9" numFmtId="0" xfId="0" applyAlignment="1" applyBorder="1" applyFont="1">
      <alignment horizontal="center" vertical="center"/>
    </xf>
    <xf borderId="28" fillId="0" fontId="1" numFmtId="0" xfId="0" applyAlignment="1" applyBorder="1" applyFont="1">
      <alignment vertical="top"/>
    </xf>
    <xf borderId="0" fillId="0" fontId="6" numFmtId="0" xfId="0" applyAlignment="1" applyFont="1">
      <alignment horizontal="left" vertical="top"/>
    </xf>
    <xf borderId="51" fillId="0" fontId="9" numFmtId="0" xfId="0" applyAlignment="1" applyBorder="1" applyFont="1">
      <alignment vertical="top"/>
    </xf>
    <xf borderId="0" fillId="0" fontId="9" numFmtId="0" xfId="0" applyAlignment="1" applyFont="1">
      <alignment vertical="top"/>
    </xf>
    <xf borderId="52" fillId="0" fontId="6" numFmtId="0" xfId="0" applyAlignment="1" applyBorder="1" applyFont="1">
      <alignment horizontal="left"/>
    </xf>
    <xf borderId="53" fillId="0" fontId="3" numFmtId="0" xfId="0" applyBorder="1" applyFont="1"/>
    <xf borderId="33" fillId="0" fontId="9" numFmtId="0" xfId="0" applyAlignment="1" applyBorder="1" applyFont="1">
      <alignment vertical="top"/>
    </xf>
    <xf borderId="36" fillId="0" fontId="9" numFmtId="0" xfId="0" applyAlignment="1" applyBorder="1" applyFont="1">
      <alignment vertical="top"/>
    </xf>
    <xf borderId="0" fillId="0" fontId="6" numFmtId="0" xfId="0" applyAlignment="1" applyFont="1">
      <alignment horizontal="left"/>
    </xf>
    <xf borderId="54" fillId="0" fontId="7" numFmtId="0" xfId="0" applyAlignment="1" applyBorder="1" applyFont="1">
      <alignment horizontal="left" vertical="center"/>
    </xf>
    <xf borderId="19" fillId="0" fontId="7" numFmtId="0" xfId="0" applyAlignment="1" applyBorder="1" applyFont="1">
      <alignment horizontal="center" vertical="center"/>
    </xf>
    <xf borderId="2" fillId="0" fontId="7" numFmtId="0" xfId="0" applyAlignment="1" applyBorder="1" applyFont="1">
      <alignment horizontal="center" vertical="center"/>
    </xf>
    <xf borderId="39" fillId="0" fontId="6" numFmtId="0" xfId="0" applyAlignment="1" applyBorder="1" applyFont="1">
      <alignment horizontal="center" vertical="center"/>
    </xf>
    <xf borderId="55" fillId="0" fontId="3" numFmtId="0" xfId="0" applyBorder="1" applyFont="1"/>
    <xf borderId="19" fillId="0" fontId="6" numFmtId="0" xfId="0" applyAlignment="1" applyBorder="1" applyFont="1">
      <alignment horizontal="center" vertical="center"/>
    </xf>
    <xf borderId="20" fillId="0" fontId="6" numFmtId="0" xfId="0" applyAlignment="1" applyBorder="1" applyFont="1">
      <alignment horizontal="center" vertical="center"/>
    </xf>
    <xf borderId="28" fillId="0" fontId="7" numFmtId="0" xfId="0" applyAlignment="1" applyBorder="1" applyFont="1">
      <alignment horizontal="left" vertical="center"/>
    </xf>
    <xf borderId="22" fillId="0" fontId="11" numFmtId="0" xfId="0" applyAlignment="1" applyBorder="1" applyFont="1">
      <alignment horizontal="center" vertical="center"/>
    </xf>
    <xf borderId="41" fillId="0" fontId="7" numFmtId="0" xfId="0" applyAlignment="1" applyBorder="1" applyFont="1">
      <alignment vertical="center"/>
    </xf>
    <xf borderId="56" fillId="0" fontId="11" numFmtId="0" xfId="0" applyAlignment="1" applyBorder="1" applyFont="1">
      <alignment horizontal="center" vertical="center"/>
    </xf>
    <xf borderId="57" fillId="2" fontId="11" numFmtId="0" xfId="0" applyAlignment="1" applyBorder="1" applyFont="1">
      <alignment horizontal="center" vertical="center"/>
    </xf>
    <xf borderId="29" fillId="0" fontId="11" numFmtId="0" xfId="0" applyAlignment="1" applyBorder="1" applyFont="1">
      <alignment horizontal="center" vertical="center"/>
    </xf>
    <xf borderId="18" fillId="0" fontId="1" numFmtId="0" xfId="0" applyAlignment="1" applyBorder="1" applyFont="1">
      <alignment horizontal="left"/>
    </xf>
    <xf borderId="38" fillId="0" fontId="1" numFmtId="0" xfId="0" applyAlignment="1" applyBorder="1" applyFont="1">
      <alignment horizontal="center"/>
    </xf>
    <xf borderId="1" fillId="0" fontId="9" numFmtId="0" xfId="0" applyBorder="1" applyFont="1"/>
    <xf borderId="58" fillId="0" fontId="1" numFmtId="0" xfId="0" applyBorder="1" applyFont="1"/>
    <xf borderId="39" fillId="0" fontId="9" numFmtId="0" xfId="0" applyBorder="1" applyFont="1"/>
    <xf borderId="59" fillId="0" fontId="1" numFmtId="0" xfId="0" applyBorder="1" applyFont="1"/>
    <xf borderId="21" fillId="0" fontId="9" numFmtId="0" xfId="0" applyAlignment="1" applyBorder="1" applyFont="1">
      <alignment horizontal="left"/>
    </xf>
    <xf borderId="22" fillId="0" fontId="9" numFmtId="0" xfId="0" applyBorder="1" applyFont="1"/>
    <xf borderId="26" fillId="0" fontId="9" numFmtId="0" xfId="0" applyBorder="1" applyFont="1"/>
    <xf borderId="22" fillId="0" fontId="9" numFmtId="0" xfId="0" applyAlignment="1" applyBorder="1" applyFont="1">
      <alignment shrinkToFit="0" vertical="center" wrapText="1"/>
    </xf>
    <xf borderId="60" fillId="2" fontId="1" numFmtId="0" xfId="0" applyBorder="1" applyFont="1"/>
    <xf borderId="0" fillId="0" fontId="1" numFmtId="0" xfId="0" applyAlignment="1" applyFont="1">
      <alignment vertical="top"/>
    </xf>
    <xf borderId="61" fillId="0" fontId="9" numFmtId="0" xfId="0" applyBorder="1" applyFont="1"/>
    <xf borderId="9" fillId="0" fontId="1" numFmtId="0" xfId="0" applyBorder="1" applyFont="1"/>
    <xf borderId="62" fillId="0" fontId="9" numFmtId="0" xfId="0" applyBorder="1" applyFont="1"/>
    <xf borderId="36" fillId="0" fontId="9" numFmtId="0" xfId="0" applyBorder="1" applyFont="1"/>
    <xf borderId="33" fillId="0" fontId="9" numFmtId="0" xfId="0" applyBorder="1" applyFont="1"/>
    <xf borderId="37" fillId="0" fontId="9" numFmtId="0" xfId="0" applyBorder="1" applyFont="1"/>
    <xf borderId="0" fillId="0" fontId="1" numFmtId="0" xfId="0" applyAlignment="1" applyFont="1">
      <alignment horizontal="center" vertical="top"/>
    </xf>
    <xf borderId="63" fillId="0" fontId="11" numFmtId="0" xfId="0" applyBorder="1" applyFont="1"/>
    <xf borderId="15" fillId="0" fontId="1" numFmtId="0" xfId="0" applyAlignment="1" applyBorder="1" applyFont="1">
      <alignment horizontal="center"/>
    </xf>
    <xf borderId="15" fillId="0" fontId="9" numFmtId="0" xfId="0" applyBorder="1" applyFont="1"/>
    <xf borderId="15" fillId="0" fontId="9" numFmtId="0" xfId="0" applyAlignment="1" applyBorder="1" applyFont="1">
      <alignment horizontal="left"/>
    </xf>
    <xf borderId="15" fillId="0" fontId="9" numFmtId="0" xfId="0" applyAlignment="1" applyBorder="1" applyFont="1">
      <alignment horizontal="center"/>
    </xf>
    <xf borderId="16" fillId="0" fontId="9" numFmtId="0" xfId="0" applyAlignment="1" applyBorder="1" applyFont="1">
      <alignment horizontal="left"/>
    </xf>
    <xf borderId="18" fillId="0" fontId="9" numFmtId="0" xfId="0" applyBorder="1" applyFont="1"/>
    <xf borderId="38" fillId="0" fontId="9" numFmtId="0" xfId="0" applyBorder="1" applyFont="1"/>
    <xf borderId="58" fillId="0" fontId="9" numFmtId="0" xfId="0" applyBorder="1" applyFont="1"/>
    <xf borderId="41" fillId="0" fontId="9" numFmtId="0" xfId="0" applyBorder="1" applyFont="1"/>
    <xf borderId="29" fillId="0" fontId="9" numFmtId="0" xfId="0" applyAlignment="1" applyBorder="1" applyFont="1">
      <alignment horizontal="center"/>
    </xf>
    <xf borderId="42" fillId="0" fontId="9" numFmtId="0" xfId="0" applyBorder="1" applyFont="1"/>
    <xf borderId="56" fillId="0" fontId="9" numFmtId="0" xfId="0" applyBorder="1" applyFont="1"/>
    <xf borderId="64" fillId="0" fontId="9" numFmtId="0" xfId="0" applyBorder="1" applyFont="1"/>
    <xf borderId="9" fillId="0" fontId="9" numFmtId="0" xfId="0" applyBorder="1" applyFont="1"/>
    <xf borderId="63" fillId="0" fontId="6" numFmtId="0" xfId="0" applyAlignment="1" applyBorder="1" applyFont="1">
      <alignment vertical="center"/>
    </xf>
    <xf borderId="63" fillId="0" fontId="1" numFmtId="0" xfId="0" applyAlignment="1" applyBorder="1" applyFont="1">
      <alignment vertical="top"/>
    </xf>
    <xf borderId="13" fillId="0" fontId="1" numFmtId="0" xfId="0" applyAlignment="1" applyBorder="1" applyFont="1">
      <alignment vertical="top"/>
    </xf>
    <xf borderId="16" fillId="0" fontId="1" numFmtId="0" xfId="0" applyAlignment="1" applyBorder="1" applyFont="1">
      <alignment vertical="top"/>
    </xf>
    <xf borderId="17" fillId="0" fontId="1" numFmtId="0" xfId="0" applyAlignment="1" applyBorder="1" applyFont="1">
      <alignment vertical="top"/>
    </xf>
    <xf borderId="63" fillId="0" fontId="1" numFmtId="0" xfId="0" applyAlignment="1" applyBorder="1" applyFont="1">
      <alignment horizontal="left" vertical="center"/>
    </xf>
    <xf borderId="16" fillId="0" fontId="1" numFmtId="0" xfId="0" applyAlignment="1" applyBorder="1" applyFont="1">
      <alignment horizontal="left" vertical="center"/>
    </xf>
    <xf borderId="36" fillId="0" fontId="1" numFmtId="0" xfId="0" applyAlignment="1" applyBorder="1" applyFont="1">
      <alignment horizontal="left" vertical="center"/>
    </xf>
    <xf borderId="37" fillId="0" fontId="1" numFmtId="0" xfId="0" applyAlignment="1" applyBorder="1" applyFont="1">
      <alignment horizontal="left" vertical="center"/>
    </xf>
    <xf borderId="0" fillId="0" fontId="9" numFmtId="0" xfId="0" applyAlignment="1" applyFont="1">
      <alignment horizontal="center"/>
    </xf>
    <xf borderId="0" fillId="0" fontId="12" numFmtId="164" xfId="0" applyAlignment="1" applyFont="1" applyNumberFormat="1">
      <alignment vertical="center"/>
    </xf>
    <xf borderId="0" fillId="0" fontId="9" numFmtId="164" xfId="0" applyFont="1" applyNumberFormat="1"/>
    <xf borderId="0" fillId="0" fontId="13" numFmtId="164" xfId="0" applyAlignment="1" applyFont="1" applyNumberFormat="1">
      <alignment vertical="center"/>
    </xf>
    <xf borderId="0" fillId="0" fontId="14" numFmtId="164" xfId="0" applyAlignment="1" applyFont="1" applyNumberFormat="1">
      <alignment horizontal="center" shrinkToFit="0" vertical="top" wrapText="1"/>
    </xf>
    <xf borderId="0" fillId="0" fontId="15" numFmtId="0" xfId="0" applyAlignment="1" applyFont="1">
      <alignment horizontal="left" shrinkToFit="0" vertical="center" wrapText="1"/>
    </xf>
    <xf borderId="0" fillId="0" fontId="16" numFmtId="0" xfId="0" applyAlignment="1" applyFont="1">
      <alignment horizontal="left" shrinkToFit="0" vertical="center" wrapText="1"/>
    </xf>
    <xf borderId="0" fillId="0" fontId="16" numFmtId="0" xfId="0" applyFont="1"/>
    <xf borderId="0" fillId="0" fontId="17" numFmtId="164" xfId="0" applyAlignment="1" applyFont="1" applyNumberFormat="1">
      <alignment horizontal="left" vertical="center"/>
    </xf>
    <xf borderId="0" fillId="0" fontId="17" numFmtId="164" xfId="0" applyFont="1" applyNumberFormat="1"/>
    <xf borderId="0" fillId="0" fontId="16" numFmtId="164" xfId="0" applyFont="1" applyNumberFormat="1"/>
    <xf borderId="0" fillId="0" fontId="15" numFmtId="164" xfId="0" applyAlignment="1" applyFont="1" applyNumberFormat="1">
      <alignment horizontal="left" vertical="center"/>
    </xf>
    <xf borderId="0" fillId="0" fontId="15" numFmtId="164" xfId="0" applyFont="1" applyNumberFormat="1"/>
    <xf borderId="0" fillId="0" fontId="18" numFmtId="0" xfId="0" applyFont="1"/>
    <xf borderId="65" fillId="4" fontId="19" numFmtId="4" xfId="0" applyAlignment="1" applyBorder="1" applyFill="1" applyFont="1" applyNumberFormat="1">
      <alignment horizontal="center"/>
    </xf>
    <xf borderId="0" fillId="0" fontId="19" numFmtId="164" xfId="0" applyAlignment="1" applyFont="1" applyNumberFormat="1">
      <alignment horizontal="left" vertical="center"/>
    </xf>
    <xf borderId="0" fillId="0" fontId="15" numFmtId="0" xfId="0" applyFont="1"/>
    <xf borderId="66" fillId="0" fontId="15" numFmtId="164" xfId="0" applyBorder="1" applyFont="1" applyNumberFormat="1"/>
    <xf borderId="0" fillId="0" fontId="15" numFmtId="0" xfId="0" applyAlignment="1" applyFont="1">
      <alignment horizontal="left"/>
    </xf>
    <xf borderId="0" fillId="0" fontId="15" numFmtId="164" xfId="0" applyAlignment="1" applyFont="1" applyNumberFormat="1">
      <alignment vertical="center"/>
    </xf>
    <xf borderId="67" fillId="0" fontId="15" numFmtId="164" xfId="0" applyBorder="1" applyFont="1" applyNumberFormat="1"/>
    <xf borderId="65" fillId="4" fontId="15" numFmtId="0" xfId="0" applyBorder="1" applyFont="1"/>
    <xf borderId="65" fillId="4" fontId="15" numFmtId="164" xfId="0" applyAlignment="1" applyBorder="1" applyFont="1" applyNumberFormat="1">
      <alignment horizontal="left" vertical="center"/>
    </xf>
    <xf borderId="0" fillId="0" fontId="15" numFmtId="0" xfId="0" applyAlignment="1" applyFont="1">
      <alignment horizontal="center"/>
    </xf>
    <xf borderId="68" fillId="5" fontId="15" numFmtId="164" xfId="0" applyAlignment="1" applyBorder="1" applyFill="1" applyFont="1" applyNumberFormat="1">
      <alignment horizontal="center"/>
    </xf>
    <xf borderId="69" fillId="0" fontId="3" numFmtId="0" xfId="0" applyBorder="1" applyFont="1"/>
    <xf borderId="70" fillId="0" fontId="3" numFmtId="0" xfId="0" applyBorder="1" applyFont="1"/>
    <xf borderId="29" fillId="6" fontId="20" numFmtId="164" xfId="0" applyAlignment="1" applyBorder="1" applyFill="1" applyFont="1" applyNumberFormat="1">
      <alignment horizontal="center" shrinkToFit="0" vertical="center" wrapText="1"/>
    </xf>
    <xf borderId="43" fillId="6" fontId="20" numFmtId="164" xfId="0" applyAlignment="1" applyBorder="1" applyFont="1" applyNumberFormat="1">
      <alignment horizontal="center" shrinkToFit="0" vertical="center" wrapText="1"/>
    </xf>
    <xf borderId="0" fillId="0" fontId="17" numFmtId="164" xfId="0" applyAlignment="1" applyFont="1" applyNumberFormat="1">
      <alignment horizontal="center" shrinkToFit="0" vertical="center" wrapText="1"/>
    </xf>
    <xf borderId="27" fillId="0" fontId="3" numFmtId="0" xfId="0" applyBorder="1" applyFont="1"/>
    <xf borderId="71" fillId="6" fontId="20" numFmtId="164" xfId="0" applyAlignment="1" applyBorder="1" applyFont="1" applyNumberFormat="1">
      <alignment horizontal="center" shrinkToFit="0" vertical="center" wrapText="1"/>
    </xf>
    <xf borderId="72" fillId="0" fontId="3" numFmtId="0" xfId="0" applyBorder="1" applyFont="1"/>
    <xf borderId="73" fillId="0" fontId="3" numFmtId="0" xfId="0" applyBorder="1" applyFont="1"/>
    <xf borderId="74" fillId="0" fontId="3" numFmtId="0" xfId="0" applyBorder="1" applyFont="1"/>
    <xf borderId="75" fillId="0" fontId="3" numFmtId="0" xfId="0" applyBorder="1" applyFont="1"/>
    <xf borderId="76" fillId="0" fontId="21" numFmtId="0" xfId="0" applyAlignment="1" applyBorder="1" applyFont="1">
      <alignment horizontal="left" shrinkToFit="0" vertical="center" wrapText="1"/>
    </xf>
    <xf borderId="77" fillId="0" fontId="3" numFmtId="0" xfId="0" applyBorder="1" applyFont="1"/>
    <xf borderId="78" fillId="0" fontId="3" numFmtId="0" xfId="0" applyBorder="1" applyFont="1"/>
    <xf borderId="76" fillId="0" fontId="15" numFmtId="0" xfId="0" applyAlignment="1" applyBorder="1" applyFont="1">
      <alignment horizontal="center" shrinkToFit="0" vertical="center" wrapText="1"/>
    </xf>
    <xf borderId="22" fillId="2" fontId="22" numFmtId="0" xfId="0" applyAlignment="1" applyBorder="1" applyFont="1">
      <alignment horizontal="center" shrinkToFit="0" vertical="center" wrapText="1"/>
    </xf>
    <xf borderId="0" fillId="0" fontId="23" numFmtId="0" xfId="0" applyAlignment="1" applyFont="1">
      <alignment horizontal="center" shrinkToFit="0" vertical="center" wrapText="1"/>
    </xf>
    <xf borderId="22" fillId="0" fontId="21" numFmtId="164" xfId="0" applyAlignment="1" applyBorder="1" applyFont="1" applyNumberFormat="1">
      <alignment horizontal="left" shrinkToFit="0" vertical="center" wrapText="1"/>
    </xf>
    <xf borderId="22" fillId="0" fontId="15" numFmtId="0" xfId="0" applyAlignment="1" applyBorder="1" applyFont="1">
      <alignment horizontal="center" shrinkToFit="0" vertical="center" wrapText="1"/>
    </xf>
    <xf borderId="29" fillId="0" fontId="24" numFmtId="164" xfId="0" applyAlignment="1" applyBorder="1" applyFont="1" applyNumberFormat="1">
      <alignment horizontal="left" shrinkToFit="0" vertical="center" wrapText="1"/>
    </xf>
    <xf borderId="22" fillId="0" fontId="22" numFmtId="0" xfId="0" applyAlignment="1" applyBorder="1" applyFont="1">
      <alignment horizontal="center" shrinkToFit="0" vertical="center" wrapText="1"/>
    </xf>
    <xf borderId="22" fillId="0" fontId="24" numFmtId="164" xfId="0" applyAlignment="1" applyBorder="1" applyFont="1" applyNumberFormat="1">
      <alignment horizontal="left" shrinkToFit="0" vertical="center" wrapText="1"/>
    </xf>
    <xf borderId="0" fillId="0" fontId="25" numFmtId="164" xfId="0" applyAlignment="1" applyFont="1" applyNumberFormat="1">
      <alignment horizontal="left" shrinkToFit="0" vertical="center" wrapText="1"/>
    </xf>
    <xf borderId="0" fillId="0" fontId="26" numFmtId="0" xfId="0" applyAlignment="1" applyFont="1">
      <alignment horizontal="center" shrinkToFit="0" vertical="center" wrapText="1"/>
    </xf>
    <xf borderId="0" fillId="0" fontId="16" numFmtId="164" xfId="0" applyAlignment="1" applyFont="1" applyNumberFormat="1">
      <alignment vertical="center"/>
    </xf>
    <xf borderId="79" fillId="4" fontId="17" numFmtId="0" xfId="0" applyBorder="1" applyFont="1"/>
    <xf borderId="0" fillId="0" fontId="17" numFmtId="0" xfId="0" applyAlignment="1" applyFont="1">
      <alignment shrinkToFit="0" vertical="top" wrapText="1"/>
    </xf>
    <xf borderId="0" fillId="0" fontId="27" numFmtId="164" xfId="0" applyAlignment="1" applyFont="1" applyNumberFormat="1">
      <alignment vertical="center"/>
    </xf>
    <xf borderId="0" fillId="0" fontId="28" numFmtId="164" xfId="0" applyAlignment="1" applyFont="1" applyNumberFormat="1">
      <alignment horizontal="right" vertical="center"/>
    </xf>
    <xf borderId="79" fillId="4" fontId="15" numFmtId="0" xfId="0" applyAlignment="1" applyBorder="1" applyFont="1">
      <alignment vertical="center"/>
    </xf>
    <xf borderId="79" fillId="4" fontId="16" numFmtId="0" xfId="0" applyAlignment="1" applyBorder="1" applyFont="1">
      <alignment vertical="center"/>
    </xf>
    <xf borderId="0" fillId="0" fontId="27" numFmtId="0" xfId="0" applyAlignment="1" applyFont="1">
      <alignment vertical="center"/>
    </xf>
    <xf borderId="0" fillId="0" fontId="29" numFmtId="164" xfId="0" applyAlignment="1" applyFont="1" applyNumberFormat="1">
      <alignment horizontal="right" vertical="center"/>
    </xf>
    <xf borderId="0" fillId="0" fontId="16" numFmtId="0" xfId="0" applyAlignment="1" applyFont="1">
      <alignment horizontal="left" vertical="center"/>
    </xf>
    <xf borderId="79" fillId="4" fontId="16" numFmtId="0" xfId="0" applyAlignment="1" applyBorder="1" applyFont="1">
      <alignment horizontal="left" vertical="center"/>
    </xf>
    <xf borderId="0" fillId="0" fontId="16" numFmtId="0" xfId="0" applyAlignment="1" applyFont="1">
      <alignment vertical="center"/>
    </xf>
    <xf borderId="0" fillId="0" fontId="9" numFmtId="0" xfId="0" applyFont="1"/>
    <xf borderId="79" fillId="4" fontId="15" numFmtId="165" xfId="0" applyAlignment="1" applyBorder="1" applyFont="1" applyNumberFormat="1">
      <alignment vertical="center"/>
    </xf>
    <xf borderId="79" fillId="4" fontId="16" numFmtId="165" xfId="0" applyAlignment="1" applyBorder="1" applyFont="1" applyNumberFormat="1">
      <alignment vertical="center"/>
    </xf>
    <xf borderId="0" fillId="0" fontId="30" numFmtId="164" xfId="0" applyAlignment="1" applyFont="1" applyNumberFormat="1">
      <alignment horizontal="right" vertical="center"/>
    </xf>
    <xf borderId="80" fillId="4" fontId="15" numFmtId="0" xfId="0" applyAlignment="1" applyBorder="1" applyFont="1">
      <alignment horizontal="left" vertical="center"/>
    </xf>
    <xf borderId="0" fillId="0" fontId="31" numFmtId="164" xfId="0" applyAlignment="1" applyFont="1" applyNumberFormat="1">
      <alignment vertical="center"/>
    </xf>
    <xf borderId="0" fillId="0" fontId="15" numFmtId="0" xfId="0" applyAlignment="1" applyFont="1">
      <alignment horizontal="left" shrinkToFit="0" wrapText="1"/>
    </xf>
    <xf borderId="0" fillId="0" fontId="16" numFmtId="0" xfId="0" applyAlignment="1" applyFont="1">
      <alignment horizontal="left" shrinkToFit="0" wrapText="1"/>
    </xf>
    <xf borderId="0" fillId="0" fontId="16" numFmtId="0" xfId="0" applyAlignment="1" applyFont="1">
      <alignment horizontal="left"/>
    </xf>
    <xf borderId="0" fillId="0" fontId="32" numFmtId="164" xfId="0" applyAlignment="1" applyFont="1" applyNumberFormat="1">
      <alignment horizontal="left" shrinkToFit="0" vertical="top" wrapText="1"/>
    </xf>
    <xf borderId="0" fillId="0" fontId="32" numFmtId="164" xfId="0" applyAlignment="1" applyFont="1" applyNumberFormat="1">
      <alignment vertical="top"/>
    </xf>
    <xf borderId="0" fillId="0" fontId="32" numFmtId="164" xfId="0" applyAlignment="1" applyFont="1" applyNumberFormat="1">
      <alignment horizontal="left" shrinkToFit="0" wrapText="1"/>
    </xf>
    <xf borderId="0" fillId="0" fontId="33" numFmtId="164" xfId="0" applyAlignment="1" applyFont="1" applyNumberFormat="1">
      <alignment shrinkToFit="0" wrapText="1"/>
    </xf>
    <xf borderId="0" fillId="0" fontId="22" numFmtId="0" xfId="0" applyAlignment="1" applyFont="1">
      <alignment horizontal="left" shrinkToFit="0" vertical="top" wrapText="1"/>
    </xf>
    <xf borderId="43" fillId="7" fontId="15" numFmtId="164" xfId="0" applyAlignment="1" applyBorder="1" applyFill="1" applyFont="1" applyNumberFormat="1">
      <alignment horizontal="center" vertical="center"/>
    </xf>
    <xf borderId="0" fillId="0" fontId="34" numFmtId="0" xfId="0" applyFont="1"/>
    <xf borderId="29" fillId="0" fontId="35" numFmtId="0" xfId="0" applyAlignment="1" applyBorder="1" applyFont="1">
      <alignment horizontal="center"/>
    </xf>
    <xf borderId="0" fillId="0" fontId="17" numFmtId="164" xfId="0" applyAlignment="1" applyFont="1" applyNumberFormat="1">
      <alignment horizontal="center"/>
    </xf>
    <xf borderId="0" fillId="0" fontId="36" numFmtId="164" xfId="0" applyAlignment="1" applyFont="1" applyNumberFormat="1">
      <alignment horizontal="left" vertical="center"/>
    </xf>
    <xf borderId="80" fillId="4" fontId="36" numFmtId="14" xfId="0" applyAlignment="1" applyBorder="1" applyFont="1" applyNumberFormat="1">
      <alignment horizontal="center" vertical="center"/>
    </xf>
    <xf borderId="22" fillId="7" fontId="15" numFmtId="164" xfId="0" applyAlignment="1" applyBorder="1" applyFont="1" applyNumberFormat="1">
      <alignment horizontal="center" vertical="center"/>
    </xf>
    <xf borderId="27" fillId="0" fontId="9" numFmtId="164" xfId="0" applyBorder="1" applyFont="1" applyNumberFormat="1"/>
    <xf borderId="52" fillId="0" fontId="9" numFmtId="164" xfId="0" applyBorder="1" applyFont="1" applyNumberFormat="1"/>
    <xf borderId="52" fillId="0" fontId="3" numFmtId="0" xfId="0" applyBorder="1" applyFont="1"/>
    <xf borderId="81" fillId="0" fontId="3" numFmtId="0" xfId="0" applyBorder="1" applyFont="1"/>
    <xf borderId="47" fillId="0" fontId="9" numFmtId="164" xfId="0" applyBorder="1" applyFont="1" applyNumberFormat="1"/>
    <xf borderId="0" fillId="0" fontId="15" numFmtId="0" xfId="0" applyAlignment="1" applyFont="1">
      <alignment horizontal="left" shrinkToFit="0" vertical="top" wrapText="1"/>
    </xf>
    <xf borderId="0" fillId="0" fontId="9" numFmtId="0" xfId="0" applyAlignment="1" applyFont="1">
      <alignment shrinkToFit="0" vertical="top" wrapText="1"/>
    </xf>
    <xf borderId="0" fillId="0" fontId="26" numFmtId="164" xfId="0" applyAlignment="1" applyFont="1" applyNumberFormat="1">
      <alignment horizontal="left" shrinkToFit="0" wrapText="1"/>
    </xf>
    <xf borderId="82" fillId="0" fontId="9" numFmtId="0" xfId="0" applyBorder="1" applyFont="1"/>
    <xf borderId="0" fillId="0" fontId="37" numFmtId="0" xfId="0" applyFont="1"/>
    <xf borderId="22" fillId="0" fontId="16" numFmtId="0" xfId="0" applyAlignment="1" applyBorder="1" applyFont="1">
      <alignment horizontal="left"/>
    </xf>
    <xf borderId="36" fillId="0" fontId="38" numFmtId="0" xfId="0" applyAlignment="1" applyBorder="1" applyFont="1">
      <alignment horizontal="center" vertical="center"/>
    </xf>
    <xf borderId="12" fillId="0" fontId="30" numFmtId="0" xfId="0" applyAlignment="1" applyBorder="1" applyFont="1">
      <alignment horizontal="center" vertical="center"/>
    </xf>
    <xf borderId="13" fillId="0" fontId="9" numFmtId="0" xfId="0" applyAlignment="1" applyBorder="1" applyFont="1">
      <alignment horizontal="left" vertical="center"/>
    </xf>
    <xf borderId="16" fillId="0" fontId="9" numFmtId="0" xfId="0" applyAlignment="1" applyBorder="1" applyFont="1">
      <alignment vertical="center"/>
    </xf>
    <xf borderId="17" fillId="0" fontId="9" numFmtId="0" xfId="0" applyAlignment="1" applyBorder="1" applyFont="1">
      <alignment vertical="center"/>
    </xf>
    <xf borderId="0" fillId="0" fontId="9" numFmtId="0" xfId="0" applyAlignment="1" applyFont="1">
      <alignment vertical="center"/>
    </xf>
    <xf borderId="63" fillId="8" fontId="39" numFmtId="0" xfId="0" applyAlignment="1" applyBorder="1" applyFill="1" applyFont="1">
      <alignment horizontal="center" vertical="center"/>
    </xf>
    <xf borderId="83" fillId="0" fontId="3" numFmtId="0" xfId="0" applyBorder="1" applyFont="1"/>
    <xf borderId="84" fillId="8" fontId="39" numFmtId="0" xfId="0" applyAlignment="1" applyBorder="1" applyFont="1">
      <alignment horizontal="center" vertical="center"/>
    </xf>
    <xf borderId="12" fillId="8" fontId="30" numFmtId="0" xfId="0" applyAlignment="1" applyBorder="1" applyFont="1">
      <alignment vertical="center"/>
    </xf>
    <xf borderId="15" fillId="8" fontId="30" numFmtId="0" xfId="0" applyAlignment="1" applyBorder="1" applyFont="1">
      <alignment horizontal="center" vertical="center"/>
    </xf>
    <xf borderId="85" fillId="8" fontId="30" numFmtId="0" xfId="0" applyAlignment="1" applyBorder="1" applyFont="1">
      <alignment horizontal="center" vertical="center"/>
    </xf>
    <xf borderId="86" fillId="8" fontId="30" numFmtId="0" xfId="0" applyAlignment="1" applyBorder="1" applyFont="1">
      <alignment horizontal="center" vertical="center"/>
    </xf>
    <xf borderId="87" fillId="8" fontId="30" numFmtId="0" xfId="0" applyAlignment="1" applyBorder="1" applyFont="1">
      <alignment horizontal="center" vertical="center"/>
    </xf>
    <xf borderId="88" fillId="0" fontId="9" numFmtId="0" xfId="0" applyBorder="1" applyFont="1"/>
    <xf borderId="89" fillId="2" fontId="9" numFmtId="0" xfId="0" applyBorder="1" applyFont="1"/>
    <xf borderId="90" fillId="0" fontId="9" numFmtId="0" xfId="0" applyBorder="1" applyFont="1"/>
    <xf borderId="91" fillId="0" fontId="9" numFmtId="0" xfId="0" applyBorder="1" applyFont="1"/>
    <xf borderId="47" fillId="0" fontId="9" numFmtId="0" xfId="0" applyBorder="1" applyFont="1"/>
    <xf borderId="92" fillId="0" fontId="9" numFmtId="0" xfId="0" applyBorder="1" applyFont="1"/>
    <xf borderId="0" fillId="0" fontId="25" numFmtId="164" xfId="0" applyAlignment="1" applyFont="1" applyNumberFormat="1">
      <alignment shrinkToFit="0" vertical="center" wrapText="1"/>
    </xf>
    <xf borderId="0" fillId="0" fontId="26" numFmtId="164" xfId="0" applyAlignment="1" applyFont="1" applyNumberFormat="1">
      <alignment horizontal="center" shrinkToFit="0" vertical="center" wrapText="1"/>
    </xf>
    <xf borderId="26" fillId="2" fontId="9" numFmtId="0" xfId="0" applyBorder="1" applyFont="1"/>
    <xf borderId="93" fillId="0" fontId="9" numFmtId="0" xfId="0" applyBorder="1" applyFont="1"/>
    <xf borderId="25" fillId="0" fontId="9" numFmtId="0" xfId="0" applyBorder="1" applyFont="1"/>
    <xf borderId="60" fillId="0" fontId="9" numFmtId="0" xfId="0" applyBorder="1" applyFont="1"/>
    <xf borderId="0" fillId="0" fontId="40" numFmtId="164" xfId="0" applyAlignment="1" applyFont="1" applyNumberFormat="1">
      <alignment shrinkToFit="0" vertical="center" wrapText="1"/>
    </xf>
    <xf borderId="0" fillId="0" fontId="9" numFmtId="14" xfId="0" applyFont="1" applyNumberFormat="1"/>
    <xf borderId="41" fillId="0" fontId="26" numFmtId="0" xfId="0" applyBorder="1" applyFont="1"/>
    <xf borderId="42" fillId="0" fontId="26" numFmtId="0" xfId="0" applyBorder="1" applyFont="1"/>
    <xf borderId="94" fillId="0" fontId="26" numFmtId="0" xfId="0" applyBorder="1" applyFont="1"/>
    <xf borderId="30" fillId="0" fontId="26" numFmtId="0" xfId="0" applyBorder="1" applyFont="1"/>
    <xf borderId="95" fillId="0" fontId="26" numFmtId="0" xfId="0" applyBorder="1" applyFont="1"/>
    <xf borderId="96" fillId="8" fontId="30" numFmtId="0" xfId="0" applyAlignment="1" applyBorder="1" applyFont="1">
      <alignment vertical="center"/>
    </xf>
    <xf borderId="97" fillId="8" fontId="30" numFmtId="0" xfId="0" applyAlignment="1" applyBorder="1" applyFont="1">
      <alignment horizontal="center" vertical="center"/>
    </xf>
    <xf borderId="98" fillId="8" fontId="30" numFmtId="0" xfId="0" applyAlignment="1" applyBorder="1" applyFont="1">
      <alignment horizontal="center" vertical="center"/>
    </xf>
    <xf borderId="99" fillId="0" fontId="9" numFmtId="0" xfId="0" applyBorder="1" applyFont="1"/>
    <xf borderId="100" fillId="0" fontId="9" numFmtId="0" xfId="0" applyBorder="1" applyFont="1"/>
    <xf borderId="30" fillId="0" fontId="9" numFmtId="0" xfId="0" applyBorder="1" applyFont="1"/>
    <xf borderId="95" fillId="0" fontId="9" numFmtId="0" xfId="0" applyBorder="1" applyFont="1"/>
    <xf borderId="88" fillId="0" fontId="9" numFmtId="0" xfId="0" applyAlignment="1" applyBorder="1" applyFont="1">
      <alignment shrinkToFit="0" wrapText="1"/>
    </xf>
    <xf borderId="21" fillId="0" fontId="9" numFmtId="0" xfId="0" applyAlignment="1" applyBorder="1" applyFont="1">
      <alignment shrinkToFit="0" wrapText="1"/>
    </xf>
    <xf borderId="93" fillId="2" fontId="9" numFmtId="0" xfId="0" applyBorder="1" applyFont="1"/>
    <xf borderId="93" fillId="3" fontId="9" numFmtId="0" xfId="0" applyBorder="1" applyFont="1"/>
    <xf borderId="8" fillId="0" fontId="9" numFmtId="0" xfId="0" applyBorder="1" applyFont="1"/>
    <xf borderId="101" fillId="0" fontId="9" numFmtId="0" xfId="0" applyBorder="1" applyFont="1"/>
    <xf borderId="0" fillId="0" fontId="30" numFmtId="0" xfId="0" applyAlignment="1" applyFont="1">
      <alignment horizontal="center"/>
    </xf>
    <xf borderId="0" fillId="0" fontId="22" numFmtId="0" xfId="0" applyAlignment="1" applyFont="1">
      <alignment horizontal="center"/>
    </xf>
    <xf borderId="36" fillId="0" fontId="19" numFmtId="0" xfId="0" applyAlignment="1" applyBorder="1" applyFont="1">
      <alignment horizontal="center"/>
    </xf>
    <xf borderId="0" fillId="0" fontId="16" numFmtId="0" xfId="0" applyAlignment="1" applyFont="1">
      <alignment horizontal="center" vertical="center"/>
    </xf>
    <xf borderId="1" fillId="0" fontId="30" numFmtId="0" xfId="0" applyBorder="1" applyFont="1"/>
    <xf borderId="2" fillId="0" fontId="16" numFmtId="0" xfId="0" applyBorder="1" applyFont="1"/>
    <xf borderId="3" fillId="0" fontId="16" numFmtId="0" xfId="0" applyBorder="1" applyFont="1"/>
    <xf borderId="51" fillId="0" fontId="16" numFmtId="0" xfId="0" applyBorder="1" applyFont="1"/>
    <xf borderId="53" fillId="0" fontId="16" numFmtId="0" xfId="0" applyBorder="1" applyFont="1"/>
    <xf borderId="33" fillId="0" fontId="16" numFmtId="0" xfId="0" applyBorder="1" applyFont="1"/>
    <xf borderId="36" fillId="0" fontId="16" numFmtId="0" xfId="0" applyBorder="1" applyFont="1"/>
    <xf borderId="36" fillId="0" fontId="16" numFmtId="0" xfId="0" applyAlignment="1" applyBorder="1" applyFont="1">
      <alignment horizontal="center"/>
    </xf>
    <xf borderId="51" fillId="0" fontId="33" numFmtId="0" xfId="0" applyBorder="1" applyFont="1"/>
    <xf borderId="0" fillId="0" fontId="33" numFmtId="0" xfId="0" applyFont="1"/>
    <xf borderId="0" fillId="0" fontId="33" numFmtId="0" xfId="0" applyAlignment="1" applyFont="1">
      <alignment horizontal="left"/>
    </xf>
    <xf borderId="33" fillId="0" fontId="33" numFmtId="0" xfId="0" applyBorder="1" applyFont="1"/>
    <xf borderId="36" fillId="0" fontId="41" numFmtId="0" xfId="0" applyBorder="1" applyFont="1"/>
    <xf borderId="36" fillId="0" fontId="33" numFmtId="0" xfId="0" applyBorder="1" applyFont="1"/>
    <xf borderId="37" fillId="0" fontId="16" numFmtId="0" xfId="0" applyBorder="1" applyFont="1"/>
    <xf borderId="51" fillId="0" fontId="30" numFmtId="0" xfId="0" applyBorder="1" applyFont="1"/>
    <xf borderId="0" fillId="0" fontId="30" numFmtId="0" xfId="0" applyFont="1"/>
    <xf borderId="102" fillId="0" fontId="16" numFmtId="0" xfId="0" applyBorder="1" applyFont="1"/>
    <xf borderId="103" fillId="0" fontId="16" numFmtId="0" xfId="0" applyBorder="1" applyFont="1"/>
    <xf borderId="104" fillId="0" fontId="16" numFmtId="0" xfId="0" applyBorder="1" applyFont="1"/>
    <xf borderId="105" fillId="0" fontId="16" numFmtId="0" xfId="0" applyBorder="1" applyFont="1"/>
    <xf borderId="106" fillId="0" fontId="16" numFmtId="0" xfId="0" applyBorder="1" applyFont="1"/>
    <xf borderId="107" fillId="0" fontId="16" numFmtId="0" xfId="0" applyBorder="1" applyFont="1"/>
    <xf borderId="108" fillId="0" fontId="16" numFmtId="0" xfId="0" applyBorder="1" applyFont="1"/>
    <xf borderId="109" fillId="0" fontId="16" numFmtId="0" xfId="0" applyBorder="1" applyFont="1"/>
    <xf borderId="110" fillId="0" fontId="16" numFmtId="0" xfId="0" applyBorder="1" applyFont="1"/>
    <xf borderId="0" fillId="0" fontId="16" numFmtId="14" xfId="0" applyFont="1" applyNumberFormat="1"/>
    <xf borderId="5" fillId="0" fontId="16" numFmtId="0" xfId="0" applyBorder="1" applyFont="1"/>
    <xf borderId="31" fillId="0" fontId="42" numFmtId="0" xfId="0" applyBorder="1" applyFont="1"/>
    <xf borderId="0" fillId="0" fontId="42" numFmtId="0" xfId="0" applyFont="1"/>
    <xf borderId="26" fillId="0" fontId="9" numFmtId="14" xfId="0" applyBorder="1" applyFont="1" applyNumberFormat="1"/>
    <xf borderId="26" fillId="0" fontId="9" numFmtId="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7.png"/><Relationship Id="rId3" Type="http://schemas.openxmlformats.org/officeDocument/2006/relationships/image" Target="../media/image2.png"/><Relationship Id="rId4" Type="http://schemas.openxmlformats.org/officeDocument/2006/relationships/image" Target="../media/image12.png"/><Relationship Id="rId5" Type="http://schemas.openxmlformats.org/officeDocument/2006/relationships/image" Target="../media/image6.png"/><Relationship Id="rId6" Type="http://schemas.openxmlformats.org/officeDocument/2006/relationships/image" Target="../media/image5.png"/><Relationship Id="rId7" Type="http://schemas.openxmlformats.org/officeDocument/2006/relationships/image" Target="../media/image8.png"/><Relationship Id="rId8"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1.png"/><Relationship Id="rId3"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371725" cy="7905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1352550</xdr:colOff>
      <xdr:row>52</xdr:row>
      <xdr:rowOff>514350</xdr:rowOff>
    </xdr:from>
    <xdr:ext cx="11887200" cy="504825"/>
    <xdr:sp>
      <xdr:nvSpPr>
        <xdr:cNvPr id="3" name="Shape 3"/>
        <xdr:cNvSpPr txBox="1"/>
      </xdr:nvSpPr>
      <xdr:spPr>
        <a:xfrm>
          <a:off x="0" y="3532350"/>
          <a:ext cx="10692000" cy="49530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400" u="none">
              <a:solidFill>
                <a:srgbClr val="0000FF"/>
              </a:solidFill>
              <a:latin typeface="Calibri"/>
              <a:ea typeface="Calibri"/>
              <a:cs typeface="Calibri"/>
              <a:sym typeface="Calibri"/>
            </a:rPr>
            <a:t>                                                         </a:t>
          </a:r>
          <a:r>
            <a:rPr b="1" lang="en-US" sz="1400" u="sng">
              <a:solidFill>
                <a:srgbClr val="0000FF"/>
              </a:solidFill>
              <a:latin typeface="Calibri"/>
              <a:ea typeface="Calibri"/>
              <a:cs typeface="Calibri"/>
              <a:sym typeface="Calibri"/>
            </a:rPr>
            <a:t>https://services.totalenergies.fr/particuliers/aides</a:t>
          </a:r>
          <a:endParaRPr sz="1400"/>
        </a:p>
      </xdr:txBody>
    </xdr:sp>
    <xdr:clientData fLocksWithSheet="0"/>
  </xdr:oneCellAnchor>
  <xdr:oneCellAnchor>
    <xdr:from>
      <xdr:col>0</xdr:col>
      <xdr:colOff>0</xdr:colOff>
      <xdr:row>50</xdr:row>
      <xdr:rowOff>0</xdr:rowOff>
    </xdr:from>
    <xdr:ext cx="304800" cy="304800"/>
    <xdr:sp>
      <xdr:nvSpPr>
        <xdr:cNvPr descr="data:image/jpeg;base64,/9j/4AAQSkZJRgABAQAAAQABAAD/2wCEAAkGBxAOEA8NEBEVFhARDRcPDg8PDw8QFRUOGBEWFhUVFhUYHSggGBolHRUVITEhJSkrLi4uFyAzODMsNygtLisBCgoKDg0OGhAQGy0lICYtLS0vLS0tLS0tLS0tLS0tLS0tLS0vLS0tLS0tLSstLS0tLS0tLS0tLy0tLS0tLS0tLf/AABEIAMgAyAMBEQACEQEDEQH/xAAbAAEAAwEBAQEAAAAAAAAAAAAABQYHAQIEA//EAEEQAAECAwMFDQcEAQQDAAAAAAEAAgMEEQUSMQYhQVGBBxMUIiNCUmFxkaHB0RYXMmOTlNIzorHhYkNTVHIVg5L/xAAbAQEAAgMBAQAAAAAAAAAAAAAAAQQDBQYCB//EAC8RAQABBAAFAwQBAwUBAAAAAAABAgMEEQUSEyExFEFRFSIykSMzQoEGJHHB8GH/2gAMAwEAAhEDEQA/ANxQEBAQEBAQEBAQEBAQEBAQEBAQEBAQEBAQEBAQEBAQEBAQEBAQEBAQEBAQEBAQEBAQEBAQEBAQEBAQEBBxEeXFKdRDqgns4iO0vSJEBAQEBAQEBAQEBAQEBAQEBAQEBBxETL4LTtWBKtvxogYMBeOc9gxK8zVplt49d2fthAe8GRrSsT/tvRp/NVii/Er/ANIytbmE/ZtqwZpt+DEa8YG6c4PWMQs0VRKjesXLM6qhIKWIQEBAQEBAQEBAQEBAQEBAQEBAQEHwWrPsloUSO/4WNLjrOoDrJzLxXXyQyWbM3K4inyzOyLKj21HiTUd5bCDqEjPTUyHqoMSq0UdTu6O7fowLcU0+Vq9jLM/R/wBSn/Idf7q+SydKmn7Wtq4nmT90+FWtayo9ix4czAeXQi6gLs1dcKIBmNRgVhqtza+5tLN+jiNvp3O0w0uy59kzBhzDM7XtvDWNYPWDmV2mrbmr1maLk0Vez7lMsbqAgICAgICAgICAgICAgICAgIOEoM1y8tF85MwrMgZ6RBfpgYpwB6mipP8ASqXZ56tOg4dYixanIrTlsTLLHkGwoVN8u73C1mIRxnnxPcvdU9OlSx7debkbnwyjfXXt8vG/evb5XjX9dcarXzcq5tuxjGpmjkmGr2PMstiQdCi/qU3uLTERB8Lx4HvWyiYuUacdkW68PI3T4QeQlovk5mJZkfNV5uA4CKMQOpwzj+1itVd9LvErUZFqMihpNVbc9Mez0iRAQEBAQEBAQEBAQEBAQEBB5UeSZ0hcq7YElLui888WC06Yhw2DHYvF25ywt4GJN+7FPsrO5zZBo+0Yud0QuEMuxpXjv2nwqsVqntzNlxfI1MY9v2VXLC2uGzLntPJMqyANYrndtOfsoqt65zzpuuFYUWbMTPmUGq7a+JTmSFtGSmWuJ5KJSHGGoVzO2HwqrNq5pqOK4c3qdwte6NZJoy0YOZzLoiluNK8R+w/yFauUc33Q03C78RM2K/ErJkra7Z2WZF544sZo0RBjsOO1e7Vzn7NdnY82b0258eydWVUEBAQEBAQEBAQEBAQEBAQEHhPEEd52y61ozrZtBsvDJ3iGS28MLgPKP24DYqc/yVOisR6Ox1J8ymsvrWbKSzZGDRrojLtBzJcZj34d69Xa+nTpX4XjzfvdSv2ZjVUIid7dfOonW3Lw1jvUakiumfd2qnUwnnpq7NPyCtZs3LvkovGdDZdoefLnMO7DuWwsXOanTjuJ4049zqU+ELZMV1jWg+WiHkIpDbxwuE8m/Zgdq8R/FVtbvRGZixdj8oakCrjm3UBAQEBAQEBAQEBAQEBBxB1EbVDdAtzgsvvTDSLGBaKHO2HzneQ7Vhu16p5W14Tida7z1/jD8sjbMZZ0m+bjZnvZvsQnFsICrG9untK8WqenRuU516cm/wBOjxHaGcWzaTpuPEmH4vdxR0WDBuwKldq3LqsHGixYihom57Y8DgjJgsa6JEc4lz2h2YPIDRXDDxV2xT9rmOL5FcZFVEStf/joP+0z6bPRZ9Q1fWr15n9qpuh2PA4I6YDGtiQ3AhzGhpILwC00xx8Fhv0dm04TkVeoiNs7sa0nSkeHMMxY7jDpMOLdoVGirlqdRl4sZNmYlo2WVmMtCUZNwc7mM32GQM7oRFXN8+0K9dp6lPZyuBfnHvTar8P23P7c4VL7091YsEBriTndD5rvI9imxc3GnjimN0LvNH4ytqz6azx3ekBAQEBAQEBAQEBAQEHERt+MzHbDa6I80a1pc4nQAM5R7ppmqdQzKx4LrYtF0zEHIQyHXThcH6bNuJ2qnEdS46HIrjExYtUflPl9W6ZblSJGGcwo+PTXzG+Z2KcqvX2p4Nh9utV/hQVr58ulnfaWtbmcS9IgdGO9v7q+a2tn8XF8ZiIyqpW1Zmq9lR3TYl2RI6Udjf3E+SwX6uza8Ij/AHEMmWsny7Xm+F+3NLboTIxDmNXwKnTz2+Y2q/j3O2nMcaw+WerS+W14TrGtFkzDHIRCXXRhcP6jNmI2LzNPTqerFUZ2L0qvyhpstHbEY2I01a5oc0jSDgVcpncObrpmirln2fupQICAgICAgICAgICAg8hRHbsjz3UDdItgm5Z0LO+IWuihuJBPFZtOfuVa9XzfZDd8Kx+XeRV4hJy8Nli2eS6heBed/nMOwHZo7Askat0sFU1ZmTqGUzEd0V74jzVz3FzidJOK11yvmqdnZtdKiKH5rzDN8tM3KYtYEwzozAd3sHothjT2cdxynV6JXsK00nsom6tEpAl2dKOT3MPqquTPZu+BU7uTLM1rnYfi/SWjOhvbFYaPY4OaRoIWSidMN+11KdS1eYhw7Zs8ObQRKVaOhMNxHZo7Ctj2u07cbRVVg5XLPhF7m9sEX7Oi5nwy4wg7EAHjM2HP3rFYq1PLK1xbFiIi/R4loAVpodibNadRIgICAgICAgICAgjbatFspAiTD8GNqBpLtAHaV4qnUczNj2Zu3Ipj3UfIOznzcxEtOPnpENyuBinEjqaMw/pV7NPNVzy3XEr8WbUY1H+UXug23wmY3hh5KAS0UwdF552Yd6xZNzc6hf4Ng8lvq1eVVVXXZvJq5o2KYR/c0DcmicabZ1McP3hXcaXM/wCoadV0y0YK5Lm48M43WYvGlWamvce9gVLKl0fAKfuqlQFSh0095El7mdQtW5/bnBpjeHnko5DanBsXmHbh3K1j3eX7Wh41hxdt81PmEnl5Zz5SYh2nAzVeC+mAijAnqcMx/tZrtPL90KPDb0Xbc49xebFtJk3AhzDMHNqRpDtIPYVnoq20mTam1XMJFe5hi9nUBAQEBAQEBAQcQcKlEz7Myy0nn2hNwrOgGrWPuuIwMXST1NFfFUrszcr5YdFgWoxbE3a/M+E9lJOssqRZLwcz3M3qDrGbjvPfXtKy3a4pp5VPDtVZmRNU+I8soWtdpTGo0IkUE/jC5blsSk3FZ0pcnuePVXMWWg/1BG6IlqqvuUjwyrdSiVm4TOjLDxefRa/Jl1XAKdW5lTVVdEICiJ5ZeK6eeJhq+Tk6y1ZF8vGzva3eo2uvNeO6vaCtnTVFylxeXaqw7/NCCyKnX2fORLNj5mvfdaThvugjqcKeCw26unV01viFuMizF+jy0sK7Phz2tQ9okQEBAQEBAQEHChvsr+WFt8Cl3PB5R/EhD/M6dgz9yxXLml3AxutX/wDEFudWRvUJ9oRfiiNNwv0QsS49p8AsdmjUc8rnFL/NcizT4hTMqbYM7MPi15NvEgg6IY09pxVS9XzVbdDwzFizaj5nyiFibEQFEnvpZdzqJdtCGOlDe3wr5KzjT3abjUbsbbEti433Y7uiRL1oRR0YbG/tr5rW5M93Y8EjVjatLA3YgJrcHiNpfJW2DJTLIv8Apu4kYDTDOntGKy2LnLOms4piRkWtx5XPdFsffYbLQg/FDaL5bphYhw7D4HqVu9Rv+RoeF5PLVNqvxKeyQtoTss15PKs5OMP8xp2jOslq5zxtQzsWce7O/ErAsqmICAgICAgICDwXACp708QRHN4ZbNvdbVohjSeDwqj/ANQPGd2uOYbFSn+WrTo6f9jj796kxui2wIEFshCzOiMF+nNgDMBtw7AVkv19tK3CsWb13qyzRa6XY613FKRAUI/uhM5Gxbk/Kn5t3vaR5rPjz3a3i0bxqm2rZezhfdiOWES/PzR+dd7mgeS1l/8AJ3XCY1YpQ6xNmICIERPhpe51bAjwXSEXO6G072DzoJzEbK07CFfsV89OnIcWxarFcXafdDyb3WLaJhurwaLQZ/8AaJ4ru1pzHavEfxVLFzWdi7j8oam11c4V2O7nJ7dpdSUadRIgICAgICCl7otubxB4Mw8pHBBpi2FpO3DvWC/Xr7W14Zi9SvnnxD1kxIMsuRfMxsz3M32LrApxWDrz95SmiLccxmXpyr3LHjwzO1J98zGiTD/ie+9SuYDQB1AZlQrr267Cx4xrXK+VeIWIncaESICiCH2WNFuTMu/ozDD+8LJanUqWZTzWKobyMNi2s+HAf3MGtiLfmJh/SmHn95Wqud6n0DCp5cel8a8LggIgQfVZc++WjQ5hnxMdWmsaWnqIXqiubdWlXLsU36JplpmVEgy1JFkzBzva3fYWsinHZ25u8LY3KOencOTw7s4mTyVePDxudW5v8EyzzysEACuLoWg7MO5ebVzfZHFMXpVc0eJXQKw1cTuHUBAQEBBxEPmnJlkGG+K80Yxpc46gFFVWmS3amuqKKWb5OSr7Vn4k7GHJQ3BwacLw/TZsGc/2qtEdSeZ0GXXGFYi3T5l63SrbvxBIwzxWEOjUOMTQ3Zj2nqXnJu7jle+B4XNu7V/hR1SdIICl6EBR4PFD0x90tdqcHDY6q9RPdhuUbty3D/y0Lg3C77d73u/ermww7dFNa2k1UzS4GMeqbvJr3Ye914l2txcdpqtXXPd31inVvkeVDMICAgKHneu68bmtub28yTzxXkugk6Imlu3HtHWr2Nd9pc1xnDn+rDzlHLPsmfZOwhyURxcWjCp/UZtxH9KLtPLVtGHVTmY026/MNJkplkZjIrDVj2hzSNRVumqKoc7Xam3VMVPpXp5EBAQEHlSiZ32Z5uiWs6K9lmQc7nOBigc55/TZ5nYql6rvpvuFY0WonIr8JiI5li2eAKGIBT/vMO09nkFkn+KlVp5s3J3Pj/pk0WI57nPcauc4ucTiScStZV3q27O1a6cRFPs8qGURApehAUSie8PssiR4THhS9ab48NvUrTnVpsWW3RtVzb/RtbXz3bMpThL6VrS4yn8q3TjzEeXMzxqZrirl/wDfpQ7XkTLR4suTXe3lt6lKjQabVTrjll02Hf69uK3xrwtiAgICiPCIjm7PUKI5jmvaaOa4OaRiCM4KmmdSxXKYvRNuWsw3Q7as7PQRCKH/AAmG6ezyK2UR1KduMrpqw8nt4RG5zazoT32bGzOa4mECcHD42eY2rxYnVWpWuK48XIi/R4aGFaaJ1AQEBBF5QWq2Tl4kw7mijRreczR3rxcq1Sz41ib9yKYUvc9st0eLEtOPndfdvZOmIfidswCr2qd/c3HE70W7UY9CCy5trhcwWNPIwSWMpgX893kOoLDeubbPg+HNqnmnzKuKtDcx3qFKRAQEQJ7E/wBPSSyamWQZuXivNGNiguccALpFfFZLM6lR4jamvHmI8taOVUj/AMqF/wDYWwm7Tpxvob+vxZNlLNMjTcxFYasdFq06xdAr4Khe1Muy4fbuUY0UyjFiXhEiAgICIWXIW2uCTG9vPIxiGv1B/Md5HqKtY9zXZpeM4fVtxVT5hN7odlugRYVpwMxvt3wjREHwO24HZrXu7Hu1vDL/AFKKsetdLAtRs5AhzDec2jhqeMxHerNurcNNk482bsxKTXuIYfd1AQEFD3VnHeJcc0zBLtjHU81WyZ1bbrgmurL7LBDn2O1sD9Tgr2tpjvueu2qm1/R2wZMcmbuvxtk7hdN05iDQg5iDqK19US7O1cp5fLl4a/FREPXPEe5eGvxU6Oen5Lw1+KaOen5Lw1+KaOen5Lw1+KaOen5Lw1+KimOxz0+Nl4a/FKdxKOamrtsvdfip+43RPbsXhr8VGplMV67RJeGvxU6OePkvDX4po56fkvDX4po56fkvDX4po56fkvDX4po56fkvDX4po56fl1ovG6M5JoAM5J1AJTExU8XKqenVVMtYygDmWO5sf9TgzGurjv2am2q2FcfY47E+/LiaPl8e5U8mBMA/CJgU7SwV8l5xvDNxymIuxpe1amdNLp1AQEEFlZZHDZZ8EUvij4ROAiDAdhzjasV2maoW8DImxdiufDPMmco4tmPfLxmOMO/x4ZzOY/SRX+NOKr03Jt9nR5mFazKetan7ludlVZMTjvu3jjflnF203SsvVttP9PzI8RP7PaOxvl/au/FOpbPRZvxP7PaOxvl/au/FOpbPRZvxP7PaOxvl/au/FOpbPRZvxP7PaOxvl/au/FOpbPRZvxP7PaOxvl/au/FOpbPRZvxP7PaOxvl/au/FOpbPRZvxP7PaOxvl/au/FOpbPRZvxP7PaOxvl/au/FOpbPRZvxP7PaOxvl/au/FOpbPRZvxP7PaOxvl/au/FOpbPRZvxP7PaOxvl/au/FOpbPRZvxP7PaOxvl/au/FOpbPRZvxP7PaOxvl/au/FOpbPRZvxP7PaOxvl/au/FOpbPRZvxP7PaOxvl/au/FOpbPRZvxP7BlVZMPjsu3hhclnB2w0CmLtulH0/Oq+3vr/lUcpso4lpvZLwWOEO9xIYzue/QTT+NGKr3a4rns2+HhUYMc92e7QskrH4FLMhE8ckvikYGIcQOoZhsVyijUOdzb/WrmU6vcqvs6gICDz1ps32RNsZPy05QxoYLqUDwS1w2hY6rUVLOPl3bMbolDe7uS1xfqD0Xj01C79byPmD3dyXSi/UHonpqEfWsj5Pd3J9KL9QeiemoT9ZyPk93cn0ov1B6J6ag+s5Hye7uT6UX6g9E9NQfWcj5Pd3J9KL9QeiemoPrOR8nu7k+lF+oPRPTUH1nI+T3dyfSi/UHonpqD6zkfJ7u5PpRfqD0T01B9ZyPk93cn0ov1B6J6ag+s5Hye7uT6UX6g9E9NQfWcj5Pd3J9KL9QeiemoPrOR8nu7k+lF+oPRPTUH1nI+T3dyfSi/UHonpqD6zkfJ7u5PpRfqD0T01B9ZyPk93cl0ov1B6J6ag+s5Hye7uS1xfqD0Xn0tKPrOVCZsfJ6Wk88GGA6lC8kucdpWWm3RSqZGZdvf1JS4WTapoRLqAgICAgICAgICAgICAgICAgICAgICAgICAgICAgICAgICAgICAgICAgICAgICAgICAgICAgICAgICAgICAgICAgICAgICAgICAgICD//2Q=="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1038225</xdr:colOff>
      <xdr:row>57</xdr:row>
      <xdr:rowOff>247650</xdr:rowOff>
    </xdr:from>
    <xdr:ext cx="2619375" cy="428625"/>
    <xdr:sp>
      <xdr:nvSpPr>
        <xdr:cNvPr id="5" name="Shape 5"/>
        <xdr:cNvSpPr txBox="1"/>
      </xdr:nvSpPr>
      <xdr:spPr>
        <a:xfrm>
          <a:off x="4036313" y="3570450"/>
          <a:ext cx="2619375" cy="41910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2333625</xdr:colOff>
      <xdr:row>56</xdr:row>
      <xdr:rowOff>123825</xdr:rowOff>
    </xdr:from>
    <xdr:ext cx="10391775" cy="933450"/>
    <xdr:sp>
      <xdr:nvSpPr>
        <xdr:cNvPr id="6" name="Shape 6"/>
        <xdr:cNvSpPr txBox="1"/>
      </xdr:nvSpPr>
      <xdr:spPr>
        <a:xfrm>
          <a:off x="154875" y="3318038"/>
          <a:ext cx="10382250" cy="923925"/>
        </a:xfrm>
        <a:prstGeom prst="rect">
          <a:avLst/>
        </a:prstGeom>
        <a:solidFill>
          <a:srgbClr val="FFFFFF"/>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0" lang="en-US" sz="1400">
              <a:solidFill>
                <a:schemeClr val="dk1"/>
              </a:solidFill>
              <a:latin typeface="Calibri"/>
              <a:ea typeface="Calibri"/>
              <a:cs typeface="Calibri"/>
              <a:sym typeface="Calibri"/>
            </a:rPr>
            <a:t>Site de réseau France Rénov'</a:t>
          </a:r>
          <a:r>
            <a:rPr b="0" lang="en-US" sz="1400">
              <a:solidFill>
                <a:srgbClr val="000000"/>
              </a:solidFill>
              <a:latin typeface="Calibri"/>
              <a:ea typeface="Calibri"/>
              <a:cs typeface="Calibri"/>
              <a:sym typeface="Calibri"/>
            </a:rPr>
            <a:t> </a:t>
          </a:r>
          <a:r>
            <a:rPr b="1" lang="en-US" sz="1400">
              <a:solidFill>
                <a:srgbClr val="000000"/>
              </a:solidFill>
              <a:latin typeface="Calibri"/>
              <a:ea typeface="Calibri"/>
              <a:cs typeface="Calibri"/>
              <a:sym typeface="Calibri"/>
            </a:rPr>
            <a:t>:                        </a:t>
          </a:r>
          <a:r>
            <a:rPr b="0" lang="en-US" sz="1400" u="sng">
              <a:solidFill>
                <a:srgbClr val="0000FF"/>
              </a:solidFill>
              <a:latin typeface="Calibri"/>
              <a:ea typeface="Calibri"/>
              <a:cs typeface="Calibri"/>
              <a:sym typeface="Calibri"/>
            </a:rPr>
            <a:t>https://France-renov.gouv.fr</a:t>
          </a:r>
          <a:endParaRPr sz="1400"/>
        </a:p>
        <a:p>
          <a:pPr indent="0" lvl="0" marL="0" rtl="0" algn="l">
            <a:spcBef>
              <a:spcPts val="0"/>
            </a:spcBef>
            <a:spcAft>
              <a:spcPts val="0"/>
            </a:spcAft>
            <a:buNone/>
          </a:pPr>
          <a:r>
            <a:t/>
          </a:r>
          <a:endParaRPr b="0" sz="1400" u="sng">
            <a:solidFill>
              <a:srgbClr val="0000FF"/>
            </a:solidFill>
          </a:endParaRPr>
        </a:p>
        <a:p>
          <a:pPr indent="0" lvl="0" marL="0" rtl="0" algn="l">
            <a:spcBef>
              <a:spcPts val="0"/>
            </a:spcBef>
            <a:spcAft>
              <a:spcPts val="0"/>
            </a:spcAft>
            <a:buNone/>
          </a:pPr>
          <a:r>
            <a:rPr b="0" lang="en-US" sz="1400" u="none">
              <a:solidFill>
                <a:srgbClr val="000000"/>
              </a:solidFill>
              <a:latin typeface="Calibri"/>
              <a:ea typeface="Calibri"/>
              <a:cs typeface="Calibri"/>
              <a:sym typeface="Calibri"/>
            </a:rPr>
            <a:t>                                             Tel :                         0 808 800 700</a:t>
          </a:r>
          <a:endParaRPr b="0" sz="1400" u="none">
            <a:solidFill>
              <a:srgbClr val="000000"/>
            </a:solidFill>
          </a:endParaRPr>
        </a:p>
      </xdr:txBody>
    </xdr:sp>
    <xdr:clientData fLocksWithSheet="0"/>
  </xdr:oneCellAnchor>
  <xdr:oneCellAnchor>
    <xdr:from>
      <xdr:col>5</xdr:col>
      <xdr:colOff>1181100</xdr:colOff>
      <xdr:row>58</xdr:row>
      <xdr:rowOff>171450</xdr:rowOff>
    </xdr:from>
    <xdr:ext cx="190500" cy="266700"/>
    <xdr:sp>
      <xdr:nvSpPr>
        <xdr:cNvPr id="7" name="Shape 7"/>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7</xdr:col>
      <xdr:colOff>361950</xdr:colOff>
      <xdr:row>56</xdr:row>
      <xdr:rowOff>123825</xdr:rowOff>
    </xdr:from>
    <xdr:ext cx="190500" cy="266700"/>
    <xdr:sp>
      <xdr:nvSpPr>
        <xdr:cNvPr id="7" name="Shape 7"/>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7</xdr:col>
      <xdr:colOff>714375</xdr:colOff>
      <xdr:row>0</xdr:row>
      <xdr:rowOff>0</xdr:rowOff>
    </xdr:from>
    <xdr:ext cx="2552700" cy="15525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542925</xdr:colOff>
      <xdr:row>0</xdr:row>
      <xdr:rowOff>66675</xdr:rowOff>
    </xdr:from>
    <xdr:ext cx="4419600" cy="10763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190500</xdr:colOff>
      <xdr:row>0</xdr:row>
      <xdr:rowOff>0</xdr:rowOff>
    </xdr:from>
    <xdr:ext cx="3895725" cy="1428750"/>
    <xdr:pic>
      <xdr:nvPicPr>
        <xdr:cNvPr descr="logo_CEE 2017 ss METS"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1009650</xdr:colOff>
      <xdr:row>46</xdr:row>
      <xdr:rowOff>238125</xdr:rowOff>
    </xdr:from>
    <xdr:ext cx="2162175" cy="2000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47625</xdr:colOff>
      <xdr:row>50</xdr:row>
      <xdr:rowOff>19050</xdr:rowOff>
    </xdr:from>
    <xdr:ext cx="171450" cy="171450"/>
    <xdr:pic>
      <xdr:nvPicPr>
        <xdr:cNvPr descr="Alerte, Attention, Alerte, Précaution, Danger, Icône Du Signe Du Triangle  Rouge Clip Art Libres De Droits, Svg, Vecteurs Et Illustration. Image  74885423"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47625</xdr:colOff>
      <xdr:row>51</xdr:row>
      <xdr:rowOff>19050</xdr:rowOff>
    </xdr:from>
    <xdr:ext cx="171450" cy="171450"/>
    <xdr:pic>
      <xdr:nvPicPr>
        <xdr:cNvPr descr="Alerte, Attention, Alerte, Précaution, Danger, Icône Du Signe Du Triangle  Rouge Clip Art Libres De Droits, Svg, Vecteurs Et Illustration. Image  74885423"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1809750</xdr:colOff>
      <xdr:row>47</xdr:row>
      <xdr:rowOff>152400</xdr:rowOff>
    </xdr:from>
    <xdr:ext cx="1657350" cy="112395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9525</xdr:colOff>
      <xdr:row>52</xdr:row>
      <xdr:rowOff>457200</xdr:rowOff>
    </xdr:from>
    <xdr:ext cx="15325725" cy="357187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238125</xdr:colOff>
      <xdr:row>47</xdr:row>
      <xdr:rowOff>66675</xdr:rowOff>
    </xdr:from>
    <xdr:ext cx="2009775" cy="124777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3171825" cy="1971675"/>
    <xdr:sp>
      <xdr:nvSpPr>
        <xdr:cNvPr id="8" name="Shape 8"/>
        <xdr:cNvSpPr/>
      </xdr:nvSpPr>
      <xdr:spPr>
        <a:xfrm>
          <a:off x="3769613" y="2803688"/>
          <a:ext cx="3152775" cy="1952625"/>
        </a:xfrm>
        <a:prstGeom prst="triangle">
          <a:avLst>
            <a:gd fmla="val 50000" name="adj"/>
          </a:avLst>
        </a:prstGeom>
        <a:noFill/>
        <a:ln cap="flat" cmpd="sng" w="25400">
          <a:solidFill>
            <a:srgbClr val="395E8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3</xdr:col>
      <xdr:colOff>752475</xdr:colOff>
      <xdr:row>2</xdr:row>
      <xdr:rowOff>0</xdr:rowOff>
    </xdr:from>
    <xdr:ext cx="1409700" cy="600075"/>
    <xdr:grpSp>
      <xdr:nvGrpSpPr>
        <xdr:cNvPr id="2" name="Shape 2"/>
        <xdr:cNvGrpSpPr/>
      </xdr:nvGrpSpPr>
      <xdr:grpSpPr>
        <a:xfrm>
          <a:off x="5045963" y="3079913"/>
          <a:ext cx="600075" cy="1400175"/>
          <a:chOff x="5045963" y="3079913"/>
          <a:chExt cx="600075" cy="1400175"/>
        </a:xfrm>
      </xdr:grpSpPr>
      <xdr:cxnSp>
        <xdr:nvCxnSpPr>
          <xdr:cNvPr id="9" name="Shape 9"/>
          <xdr:cNvCxnSpPr/>
        </xdr:nvCxnSpPr>
        <xdr:spPr>
          <a:xfrm rot="-5400000">
            <a:off x="5045963" y="3079913"/>
            <a:ext cx="600075" cy="1400175"/>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5</xdr:col>
      <xdr:colOff>733425</xdr:colOff>
      <xdr:row>11</xdr:row>
      <xdr:rowOff>9525</xdr:rowOff>
    </xdr:from>
    <xdr:ext cx="1409700" cy="752475"/>
    <xdr:grpSp>
      <xdr:nvGrpSpPr>
        <xdr:cNvPr id="2" name="Shape 2"/>
        <xdr:cNvGrpSpPr/>
      </xdr:nvGrpSpPr>
      <xdr:grpSpPr>
        <a:xfrm>
          <a:off x="4645913" y="3403838"/>
          <a:ext cx="1400100" cy="752400"/>
          <a:chOff x="4645913" y="3403838"/>
          <a:chExt cx="1400100" cy="752400"/>
        </a:xfrm>
      </xdr:grpSpPr>
      <xdr:cxnSp>
        <xdr:nvCxnSpPr>
          <xdr:cNvPr id="10" name="Shape 10"/>
          <xdr:cNvCxnSpPr>
            <a:stCxn id="8" idx="4"/>
          </xdr:cNvCxnSpPr>
        </xdr:nvCxnSpPr>
        <xdr:spPr>
          <a:xfrm flipH="1" rot="10800000">
            <a:off x="4645913" y="3403838"/>
            <a:ext cx="1400100" cy="75240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5</xdr:col>
      <xdr:colOff>752475</xdr:colOff>
      <xdr:row>2</xdr:row>
      <xdr:rowOff>0</xdr:rowOff>
    </xdr:from>
    <xdr:ext cx="1428750" cy="1800225"/>
    <xdr:grpSp>
      <xdr:nvGrpSpPr>
        <xdr:cNvPr id="2" name="Shape 2"/>
        <xdr:cNvGrpSpPr/>
      </xdr:nvGrpSpPr>
      <xdr:grpSpPr>
        <a:xfrm>
          <a:off x="4445888" y="3070388"/>
          <a:ext cx="1800225" cy="1419225"/>
          <a:chOff x="4445888" y="3070388"/>
          <a:chExt cx="1800225" cy="1419225"/>
        </a:xfrm>
      </xdr:grpSpPr>
      <xdr:cxnSp>
        <xdr:nvCxnSpPr>
          <xdr:cNvPr id="11" name="Shape 11"/>
          <xdr:cNvCxnSpPr/>
        </xdr:nvCxnSpPr>
        <xdr:spPr>
          <a:xfrm flipH="1" rot="-5400000">
            <a:off x="4445888" y="3070388"/>
            <a:ext cx="1800225" cy="1419225"/>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6</xdr:col>
      <xdr:colOff>0</xdr:colOff>
      <xdr:row>22</xdr:row>
      <xdr:rowOff>171450</xdr:rowOff>
    </xdr:from>
    <xdr:ext cx="1438275" cy="1209675"/>
    <xdr:grpSp>
      <xdr:nvGrpSpPr>
        <xdr:cNvPr id="2" name="Shape 2"/>
        <xdr:cNvGrpSpPr/>
      </xdr:nvGrpSpPr>
      <xdr:grpSpPr>
        <a:xfrm>
          <a:off x="4626863" y="3175163"/>
          <a:ext cx="1438275" cy="1209675"/>
          <a:chOff x="4626863" y="3175163"/>
          <a:chExt cx="1438275" cy="1209675"/>
        </a:xfrm>
      </xdr:grpSpPr>
      <xdr:cxnSp>
        <xdr:nvCxnSpPr>
          <xdr:cNvPr id="12" name="Shape 12"/>
          <xdr:cNvCxnSpPr/>
        </xdr:nvCxnSpPr>
        <xdr:spPr>
          <a:xfrm flipH="1" rot="10800000">
            <a:off x="4626863" y="3175163"/>
            <a:ext cx="1438275" cy="1209675"/>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1</xdr:col>
      <xdr:colOff>733425</xdr:colOff>
      <xdr:row>15</xdr:row>
      <xdr:rowOff>-9525</xdr:rowOff>
    </xdr:from>
    <xdr:ext cx="3143250" cy="2809875"/>
    <xdr:sp>
      <xdr:nvSpPr>
        <xdr:cNvPr id="13" name="Shape 13"/>
        <xdr:cNvSpPr/>
      </xdr:nvSpPr>
      <xdr:spPr>
        <a:xfrm>
          <a:off x="3783900" y="2384588"/>
          <a:ext cx="3124200" cy="2790825"/>
        </a:xfrm>
        <a:prstGeom prst="rect">
          <a:avLst/>
        </a:prstGeom>
        <a:noFill/>
        <a:ln cap="flat" cmpd="sng" w="25400">
          <a:solidFill>
            <a:srgbClr val="395E8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7</xdr:col>
      <xdr:colOff>704850</xdr:colOff>
      <xdr:row>11</xdr:row>
      <xdr:rowOff>28575</xdr:rowOff>
    </xdr:from>
    <xdr:ext cx="47625" cy="2381250"/>
    <xdr:grpSp>
      <xdr:nvGrpSpPr>
        <xdr:cNvPr id="2" name="Shape 2"/>
        <xdr:cNvGrpSpPr/>
      </xdr:nvGrpSpPr>
      <xdr:grpSpPr>
        <a:xfrm>
          <a:off x="4160138" y="3760950"/>
          <a:ext cx="2371725" cy="38100"/>
          <a:chOff x="4160138" y="3760950"/>
          <a:chExt cx="2371725" cy="38100"/>
        </a:xfrm>
      </xdr:grpSpPr>
      <xdr:cxnSp>
        <xdr:nvCxnSpPr>
          <xdr:cNvPr id="14" name="Shape 14"/>
          <xdr:cNvCxnSpPr/>
        </xdr:nvCxnSpPr>
        <xdr:spPr>
          <a:xfrm rot="5400000">
            <a:off x="4160138" y="3760950"/>
            <a:ext cx="2371725" cy="3810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1</xdr:col>
      <xdr:colOff>742950</xdr:colOff>
      <xdr:row>22</xdr:row>
      <xdr:rowOff>-19050</xdr:rowOff>
    </xdr:from>
    <xdr:ext cx="3124200" cy="38100"/>
    <xdr:grpSp>
      <xdr:nvGrpSpPr>
        <xdr:cNvPr id="2" name="Shape 2"/>
        <xdr:cNvGrpSpPr/>
      </xdr:nvGrpSpPr>
      <xdr:grpSpPr>
        <a:xfrm>
          <a:off x="3783900" y="3780000"/>
          <a:ext cx="3124200" cy="0"/>
          <a:chOff x="3783900" y="3780000"/>
          <a:chExt cx="3124200" cy="0"/>
        </a:xfrm>
      </xdr:grpSpPr>
      <xdr:cxnSp>
        <xdr:nvCxnSpPr>
          <xdr:cNvPr id="15" name="Shape 15"/>
          <xdr:cNvCxnSpPr>
            <a:stCxn id="13" idx="1"/>
            <a:endCxn id="13" idx="3"/>
          </xdr:cNvCxnSpPr>
        </xdr:nvCxnSpPr>
        <xdr:spPr>
          <a:xfrm>
            <a:off x="3783900" y="3780000"/>
            <a:ext cx="3124200" cy="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5</xdr:col>
      <xdr:colOff>733425</xdr:colOff>
      <xdr:row>17</xdr:row>
      <xdr:rowOff>0</xdr:rowOff>
    </xdr:from>
    <xdr:ext cx="1438275" cy="1000125"/>
    <xdr:grpSp>
      <xdr:nvGrpSpPr>
        <xdr:cNvPr id="2" name="Shape 2"/>
        <xdr:cNvGrpSpPr/>
      </xdr:nvGrpSpPr>
      <xdr:grpSpPr>
        <a:xfrm>
          <a:off x="4626863" y="3279863"/>
          <a:ext cx="1438200" cy="1000200"/>
          <a:chOff x="4626863" y="3279863"/>
          <a:chExt cx="1438200" cy="1000200"/>
        </a:xfrm>
      </xdr:grpSpPr>
      <xdr:cxnSp>
        <xdr:nvCxnSpPr>
          <xdr:cNvPr id="16" name="Shape 16"/>
          <xdr:cNvCxnSpPr>
            <a:stCxn id="13" idx="3"/>
          </xdr:cNvCxnSpPr>
        </xdr:nvCxnSpPr>
        <xdr:spPr>
          <a:xfrm flipH="1" rot="10800000">
            <a:off x="4626863" y="3279863"/>
            <a:ext cx="1438200" cy="100020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4</xdr:col>
      <xdr:colOff>180975</xdr:colOff>
      <xdr:row>2</xdr:row>
      <xdr:rowOff>152400</xdr:rowOff>
    </xdr:from>
    <xdr:ext cx="1343025" cy="619125"/>
    <xdr:grpSp>
      <xdr:nvGrpSpPr>
        <xdr:cNvPr id="2" name="Shape 2"/>
        <xdr:cNvGrpSpPr/>
      </xdr:nvGrpSpPr>
      <xdr:grpSpPr>
        <a:xfrm>
          <a:off x="4679250" y="3470438"/>
          <a:ext cx="1333500" cy="619125"/>
          <a:chOff x="4679250" y="3470438"/>
          <a:chExt cx="1333500" cy="619125"/>
        </a:xfrm>
      </xdr:grpSpPr>
      <xdr:cxnSp>
        <xdr:nvCxnSpPr>
          <xdr:cNvPr id="17" name="Shape 17"/>
          <xdr:cNvCxnSpPr/>
        </xdr:nvCxnSpPr>
        <xdr:spPr>
          <a:xfrm flipH="1" rot="10800000">
            <a:off x="4679250" y="3470438"/>
            <a:ext cx="1333500" cy="619125"/>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5</xdr:col>
      <xdr:colOff>523875</xdr:colOff>
      <xdr:row>15</xdr:row>
      <xdr:rowOff>76200</xdr:rowOff>
    </xdr:from>
    <xdr:ext cx="38100" cy="1276350"/>
    <xdr:grpSp>
      <xdr:nvGrpSpPr>
        <xdr:cNvPr id="2" name="Shape 2"/>
        <xdr:cNvGrpSpPr/>
      </xdr:nvGrpSpPr>
      <xdr:grpSpPr>
        <a:xfrm>
          <a:off x="4707825" y="3780000"/>
          <a:ext cx="1276350" cy="0"/>
          <a:chOff x="4707825" y="3780000"/>
          <a:chExt cx="1276350" cy="0"/>
        </a:xfrm>
      </xdr:grpSpPr>
      <xdr:cxnSp>
        <xdr:nvCxnSpPr>
          <xdr:cNvPr id="18" name="Shape 18"/>
          <xdr:cNvCxnSpPr/>
        </xdr:nvCxnSpPr>
        <xdr:spPr>
          <a:xfrm rot="5400000">
            <a:off x="4707825" y="3780000"/>
            <a:ext cx="1276350" cy="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5</xdr:col>
      <xdr:colOff>523875</xdr:colOff>
      <xdr:row>22</xdr:row>
      <xdr:rowOff>57150</xdr:rowOff>
    </xdr:from>
    <xdr:ext cx="38100" cy="1323975"/>
    <xdr:grpSp>
      <xdr:nvGrpSpPr>
        <xdr:cNvPr id="2" name="Shape 2"/>
        <xdr:cNvGrpSpPr/>
      </xdr:nvGrpSpPr>
      <xdr:grpSpPr>
        <a:xfrm>
          <a:off x="4684013" y="3780000"/>
          <a:ext cx="1323975" cy="0"/>
          <a:chOff x="4684013" y="3780000"/>
          <a:chExt cx="1323975" cy="0"/>
        </a:xfrm>
      </xdr:grpSpPr>
      <xdr:cxnSp>
        <xdr:nvCxnSpPr>
          <xdr:cNvPr id="19" name="Shape 19"/>
          <xdr:cNvCxnSpPr/>
        </xdr:nvCxnSpPr>
        <xdr:spPr>
          <a:xfrm rot="5400000">
            <a:off x="4684013" y="3780000"/>
            <a:ext cx="1323975" cy="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xdr:col>
      <xdr:colOff>0</xdr:colOff>
      <xdr:row>31</xdr:row>
      <xdr:rowOff>-9525</xdr:rowOff>
    </xdr:from>
    <xdr:ext cx="3152775" cy="2600325"/>
    <xdr:sp>
      <xdr:nvSpPr>
        <xdr:cNvPr id="20" name="Shape 20"/>
        <xdr:cNvSpPr/>
      </xdr:nvSpPr>
      <xdr:spPr>
        <a:xfrm>
          <a:off x="3779138" y="2489363"/>
          <a:ext cx="3133725" cy="2581275"/>
        </a:xfrm>
        <a:prstGeom prst="rect">
          <a:avLst/>
        </a:prstGeom>
        <a:noFill/>
        <a:ln cap="flat" cmpd="sng" w="25400">
          <a:solidFill>
            <a:srgbClr val="395E89"/>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xdr:col>
      <xdr:colOff>0</xdr:colOff>
      <xdr:row>44</xdr:row>
      <xdr:rowOff>161925</xdr:rowOff>
    </xdr:from>
    <xdr:ext cx="3143250" cy="38100"/>
    <xdr:grpSp>
      <xdr:nvGrpSpPr>
        <xdr:cNvPr id="2" name="Shape 2"/>
        <xdr:cNvGrpSpPr/>
      </xdr:nvGrpSpPr>
      <xdr:grpSpPr>
        <a:xfrm>
          <a:off x="3774375" y="3780000"/>
          <a:ext cx="3143250" cy="0"/>
          <a:chOff x="3774375" y="3780000"/>
          <a:chExt cx="3143250" cy="0"/>
        </a:xfrm>
      </xdr:grpSpPr>
      <xdr:cxnSp>
        <xdr:nvCxnSpPr>
          <xdr:cNvPr id="21" name="Shape 21"/>
          <xdr:cNvCxnSpPr/>
        </xdr:nvCxnSpPr>
        <xdr:spPr>
          <a:xfrm>
            <a:off x="3774375" y="3780000"/>
            <a:ext cx="3143250" cy="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2</xdr:col>
      <xdr:colOff>57150</xdr:colOff>
      <xdr:row>22</xdr:row>
      <xdr:rowOff>85725</xdr:rowOff>
    </xdr:from>
    <xdr:ext cx="3057525" cy="38100"/>
    <xdr:grpSp>
      <xdr:nvGrpSpPr>
        <xdr:cNvPr id="2" name="Shape 2"/>
        <xdr:cNvGrpSpPr/>
      </xdr:nvGrpSpPr>
      <xdr:grpSpPr>
        <a:xfrm>
          <a:off x="3817238" y="3780000"/>
          <a:ext cx="3057525" cy="0"/>
          <a:chOff x="3817238" y="3780000"/>
          <a:chExt cx="3057525" cy="0"/>
        </a:xfrm>
      </xdr:grpSpPr>
      <xdr:cxnSp>
        <xdr:nvCxnSpPr>
          <xdr:cNvPr id="22" name="Shape 22"/>
          <xdr:cNvCxnSpPr/>
        </xdr:nvCxnSpPr>
        <xdr:spPr>
          <a:xfrm>
            <a:off x="3817238" y="3780000"/>
            <a:ext cx="3057525" cy="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3</xdr:col>
      <xdr:colOff>228600</xdr:colOff>
      <xdr:row>9</xdr:row>
      <xdr:rowOff>-19050</xdr:rowOff>
    </xdr:from>
    <xdr:ext cx="762000" cy="38100"/>
    <xdr:grpSp>
      <xdr:nvGrpSpPr>
        <xdr:cNvPr id="2" name="Shape 2"/>
        <xdr:cNvGrpSpPr/>
      </xdr:nvGrpSpPr>
      <xdr:grpSpPr>
        <a:xfrm>
          <a:off x="4965000" y="3780000"/>
          <a:ext cx="762000" cy="0"/>
          <a:chOff x="4965000" y="3780000"/>
          <a:chExt cx="762000" cy="0"/>
        </a:xfrm>
      </xdr:grpSpPr>
      <xdr:cxnSp>
        <xdr:nvCxnSpPr>
          <xdr:cNvPr id="23" name="Shape 23"/>
          <xdr:cNvCxnSpPr/>
        </xdr:nvCxnSpPr>
        <xdr:spPr>
          <a:xfrm>
            <a:off x="4965000" y="3780000"/>
            <a:ext cx="762000" cy="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4</xdr:col>
      <xdr:colOff>333375</xdr:colOff>
      <xdr:row>9</xdr:row>
      <xdr:rowOff>0</xdr:rowOff>
    </xdr:from>
    <xdr:ext cx="952500" cy="1171575"/>
    <xdr:grpSp>
      <xdr:nvGrpSpPr>
        <xdr:cNvPr id="2" name="Shape 2"/>
        <xdr:cNvGrpSpPr/>
      </xdr:nvGrpSpPr>
      <xdr:grpSpPr>
        <a:xfrm>
          <a:off x="4764975" y="3308513"/>
          <a:ext cx="1162050" cy="942975"/>
          <a:chOff x="4764975" y="3308513"/>
          <a:chExt cx="1162050" cy="942975"/>
        </a:xfrm>
      </xdr:grpSpPr>
      <xdr:cxnSp>
        <xdr:nvCxnSpPr>
          <xdr:cNvPr id="24" name="Shape 24"/>
          <xdr:cNvCxnSpPr/>
        </xdr:nvCxnSpPr>
        <xdr:spPr>
          <a:xfrm flipH="1" rot="-5400000">
            <a:off x="4764975" y="3308513"/>
            <a:ext cx="1162050" cy="942975"/>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2</xdr:col>
      <xdr:colOff>190500</xdr:colOff>
      <xdr:row>9</xdr:row>
      <xdr:rowOff>0</xdr:rowOff>
    </xdr:from>
    <xdr:ext cx="981075" cy="1143000"/>
    <xdr:grpSp>
      <xdr:nvGrpSpPr>
        <xdr:cNvPr id="2" name="Shape 2"/>
        <xdr:cNvGrpSpPr/>
      </xdr:nvGrpSpPr>
      <xdr:grpSpPr>
        <a:xfrm>
          <a:off x="4779263" y="3294225"/>
          <a:ext cx="1133475" cy="971550"/>
          <a:chOff x="4779263" y="3294225"/>
          <a:chExt cx="1133475" cy="971550"/>
        </a:xfrm>
      </xdr:grpSpPr>
      <xdr:cxnSp>
        <xdr:nvCxnSpPr>
          <xdr:cNvPr id="25" name="Shape 25"/>
          <xdr:cNvCxnSpPr/>
        </xdr:nvCxnSpPr>
        <xdr:spPr>
          <a:xfrm rot="5400000">
            <a:off x="4779263" y="3294225"/>
            <a:ext cx="1133475" cy="97155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5</xdr:col>
      <xdr:colOff>0</xdr:colOff>
      <xdr:row>11</xdr:row>
      <xdr:rowOff>114300</xdr:rowOff>
    </xdr:from>
    <xdr:ext cx="38100" cy="647700"/>
    <xdr:grpSp>
      <xdr:nvGrpSpPr>
        <xdr:cNvPr id="2" name="Shape 2"/>
        <xdr:cNvGrpSpPr/>
      </xdr:nvGrpSpPr>
      <xdr:grpSpPr>
        <a:xfrm>
          <a:off x="5022150" y="3780000"/>
          <a:ext cx="647700" cy="0"/>
          <a:chOff x="5022150" y="3780000"/>
          <a:chExt cx="647700" cy="0"/>
        </a:xfrm>
      </xdr:grpSpPr>
      <xdr:cxnSp>
        <xdr:nvCxnSpPr>
          <xdr:cNvPr id="26" name="Shape 26"/>
          <xdr:cNvCxnSpPr/>
        </xdr:nvCxnSpPr>
        <xdr:spPr>
          <a:xfrm rot="5400000">
            <a:off x="5022150" y="3780000"/>
            <a:ext cx="647700" cy="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2</xdr:col>
      <xdr:colOff>676275</xdr:colOff>
      <xdr:row>11</xdr:row>
      <xdr:rowOff>161925</xdr:rowOff>
    </xdr:from>
    <xdr:ext cx="38100" cy="619125"/>
    <xdr:grpSp>
      <xdr:nvGrpSpPr>
        <xdr:cNvPr id="2" name="Shape 2"/>
        <xdr:cNvGrpSpPr/>
      </xdr:nvGrpSpPr>
      <xdr:grpSpPr>
        <a:xfrm>
          <a:off x="5036438" y="3780000"/>
          <a:ext cx="619125" cy="0"/>
          <a:chOff x="5036438" y="3780000"/>
          <a:chExt cx="619125" cy="0"/>
        </a:xfrm>
      </xdr:grpSpPr>
      <xdr:cxnSp>
        <xdr:nvCxnSpPr>
          <xdr:cNvPr id="27" name="Shape 27"/>
          <xdr:cNvCxnSpPr/>
        </xdr:nvCxnSpPr>
        <xdr:spPr>
          <a:xfrm rot="5400000">
            <a:off x="5036438" y="3780000"/>
            <a:ext cx="619125" cy="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3</xdr:col>
      <xdr:colOff>190500</xdr:colOff>
      <xdr:row>8</xdr:row>
      <xdr:rowOff>47625</xdr:rowOff>
    </xdr:from>
    <xdr:ext cx="800100" cy="38100"/>
    <xdr:grpSp>
      <xdr:nvGrpSpPr>
        <xdr:cNvPr id="2" name="Shape 2"/>
        <xdr:cNvGrpSpPr/>
      </xdr:nvGrpSpPr>
      <xdr:grpSpPr>
        <a:xfrm>
          <a:off x="4945950" y="3775238"/>
          <a:ext cx="800100" cy="9525"/>
          <a:chOff x="4945950" y="3775238"/>
          <a:chExt cx="800100" cy="9525"/>
        </a:xfrm>
      </xdr:grpSpPr>
      <xdr:cxnSp>
        <xdr:nvCxnSpPr>
          <xdr:cNvPr id="28" name="Shape 28"/>
          <xdr:cNvCxnSpPr/>
        </xdr:nvCxnSpPr>
        <xdr:spPr>
          <a:xfrm flipH="1" rot="10800000">
            <a:off x="4945950" y="3775238"/>
            <a:ext cx="800100" cy="9525"/>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1</xdr:col>
      <xdr:colOff>666750</xdr:colOff>
      <xdr:row>11</xdr:row>
      <xdr:rowOff>9525</xdr:rowOff>
    </xdr:from>
    <xdr:ext cx="457200" cy="542925"/>
    <xdr:grpSp>
      <xdr:nvGrpSpPr>
        <xdr:cNvPr id="2" name="Shape 2"/>
        <xdr:cNvGrpSpPr/>
      </xdr:nvGrpSpPr>
      <xdr:grpSpPr>
        <a:xfrm>
          <a:off x="5079300" y="3556163"/>
          <a:ext cx="533400" cy="447675"/>
          <a:chOff x="5079300" y="3556163"/>
          <a:chExt cx="533400" cy="447675"/>
        </a:xfrm>
      </xdr:grpSpPr>
      <xdr:cxnSp>
        <xdr:nvCxnSpPr>
          <xdr:cNvPr id="29" name="Shape 29"/>
          <xdr:cNvCxnSpPr/>
        </xdr:nvCxnSpPr>
        <xdr:spPr>
          <a:xfrm rot="5400000">
            <a:off x="5079300" y="3556163"/>
            <a:ext cx="533400" cy="447675"/>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6</xdr:col>
      <xdr:colOff>114300</xdr:colOff>
      <xdr:row>18</xdr:row>
      <xdr:rowOff>0</xdr:rowOff>
    </xdr:from>
    <xdr:ext cx="1323975" cy="914400"/>
    <xdr:grpSp>
      <xdr:nvGrpSpPr>
        <xdr:cNvPr id="2" name="Shape 2"/>
        <xdr:cNvGrpSpPr/>
      </xdr:nvGrpSpPr>
      <xdr:grpSpPr>
        <a:xfrm>
          <a:off x="4688775" y="3327563"/>
          <a:ext cx="1314450" cy="904875"/>
          <a:chOff x="4688775" y="3327563"/>
          <a:chExt cx="1314450" cy="904875"/>
        </a:xfrm>
      </xdr:grpSpPr>
      <xdr:cxnSp>
        <xdr:nvCxnSpPr>
          <xdr:cNvPr id="30" name="Shape 30"/>
          <xdr:cNvCxnSpPr/>
        </xdr:nvCxnSpPr>
        <xdr:spPr>
          <a:xfrm flipH="1" rot="10800000">
            <a:off x="4688775" y="3327563"/>
            <a:ext cx="1314450" cy="904875"/>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5</xdr:col>
      <xdr:colOff>657225</xdr:colOff>
      <xdr:row>31</xdr:row>
      <xdr:rowOff>76200</xdr:rowOff>
    </xdr:from>
    <xdr:ext cx="38100" cy="2466975"/>
    <xdr:grpSp>
      <xdr:nvGrpSpPr>
        <xdr:cNvPr id="2" name="Shape 2"/>
        <xdr:cNvGrpSpPr/>
      </xdr:nvGrpSpPr>
      <xdr:grpSpPr>
        <a:xfrm>
          <a:off x="4112513" y="3780000"/>
          <a:ext cx="2466975" cy="0"/>
          <a:chOff x="4112513" y="3780000"/>
          <a:chExt cx="2466975" cy="0"/>
        </a:xfrm>
      </xdr:grpSpPr>
      <xdr:cxnSp>
        <xdr:nvCxnSpPr>
          <xdr:cNvPr id="31" name="Shape 31"/>
          <xdr:cNvCxnSpPr/>
        </xdr:nvCxnSpPr>
        <xdr:spPr>
          <a:xfrm rot="5400000">
            <a:off x="4112513" y="3780000"/>
            <a:ext cx="2466975" cy="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oneCellAnchor>
    <xdr:from>
      <xdr:col>5</xdr:col>
      <xdr:colOff>685800</xdr:colOff>
      <xdr:row>35</xdr:row>
      <xdr:rowOff>161925</xdr:rowOff>
    </xdr:from>
    <xdr:ext cx="742950" cy="38100"/>
    <xdr:grpSp>
      <xdr:nvGrpSpPr>
        <xdr:cNvPr id="2" name="Shape 2"/>
        <xdr:cNvGrpSpPr/>
      </xdr:nvGrpSpPr>
      <xdr:grpSpPr>
        <a:xfrm>
          <a:off x="4974525" y="3780000"/>
          <a:ext cx="742950" cy="0"/>
          <a:chOff x="4974525" y="3780000"/>
          <a:chExt cx="742950" cy="0"/>
        </a:xfrm>
      </xdr:grpSpPr>
      <xdr:cxnSp>
        <xdr:nvCxnSpPr>
          <xdr:cNvPr id="32" name="Shape 32"/>
          <xdr:cNvCxnSpPr/>
        </xdr:nvCxnSpPr>
        <xdr:spPr>
          <a:xfrm>
            <a:off x="4974525" y="3780000"/>
            <a:ext cx="742950" cy="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5</xdr:col>
      <xdr:colOff>0</xdr:colOff>
      <xdr:row>45</xdr:row>
      <xdr:rowOff>0</xdr:rowOff>
    </xdr:from>
    <xdr:ext cx="733425" cy="400050"/>
    <xdr:grpSp>
      <xdr:nvGrpSpPr>
        <xdr:cNvPr id="2" name="Shape 2"/>
        <xdr:cNvGrpSpPr/>
      </xdr:nvGrpSpPr>
      <xdr:grpSpPr>
        <a:xfrm>
          <a:off x="4979288" y="3579975"/>
          <a:ext cx="733425" cy="400050"/>
          <a:chOff x="4979288" y="3579975"/>
          <a:chExt cx="733425" cy="400050"/>
        </a:xfrm>
      </xdr:grpSpPr>
      <xdr:cxnSp>
        <xdr:nvCxnSpPr>
          <xdr:cNvPr id="33" name="Shape 33"/>
          <xdr:cNvCxnSpPr/>
        </xdr:nvCxnSpPr>
        <xdr:spPr>
          <a:xfrm>
            <a:off x="4979288" y="3579975"/>
            <a:ext cx="733425" cy="40005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7</xdr:col>
      <xdr:colOff>457200</xdr:colOff>
      <xdr:row>19</xdr:row>
      <xdr:rowOff>0</xdr:rowOff>
    </xdr:from>
    <xdr:ext cx="590550" cy="171450"/>
    <xdr:grpSp>
      <xdr:nvGrpSpPr>
        <xdr:cNvPr id="2" name="Shape 2"/>
        <xdr:cNvGrpSpPr/>
      </xdr:nvGrpSpPr>
      <xdr:grpSpPr>
        <a:xfrm>
          <a:off x="5055488" y="3699038"/>
          <a:ext cx="581025" cy="161925"/>
          <a:chOff x="5055488" y="3699038"/>
          <a:chExt cx="581025" cy="161925"/>
        </a:xfrm>
      </xdr:grpSpPr>
      <xdr:cxnSp>
        <xdr:nvCxnSpPr>
          <xdr:cNvPr id="34" name="Shape 34"/>
          <xdr:cNvCxnSpPr/>
        </xdr:nvCxnSpPr>
        <xdr:spPr>
          <a:xfrm>
            <a:off x="5055488" y="3699038"/>
            <a:ext cx="581025" cy="161925"/>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4</xdr:col>
      <xdr:colOff>733425</xdr:colOff>
      <xdr:row>18</xdr:row>
      <xdr:rowOff>85725</xdr:rowOff>
    </xdr:from>
    <xdr:ext cx="533400" cy="38100"/>
    <xdr:grpSp>
      <xdr:nvGrpSpPr>
        <xdr:cNvPr id="2" name="Shape 2"/>
        <xdr:cNvGrpSpPr/>
      </xdr:nvGrpSpPr>
      <xdr:grpSpPr>
        <a:xfrm>
          <a:off x="5079300" y="3780000"/>
          <a:ext cx="533400" cy="0"/>
          <a:chOff x="5079300" y="3780000"/>
          <a:chExt cx="533400" cy="0"/>
        </a:xfrm>
      </xdr:grpSpPr>
      <xdr:cxnSp>
        <xdr:nvCxnSpPr>
          <xdr:cNvPr id="35" name="Shape 35"/>
          <xdr:cNvCxnSpPr/>
        </xdr:nvCxnSpPr>
        <xdr:spPr>
          <a:xfrm rot="10800000">
            <a:off x="5079300" y="3780000"/>
            <a:ext cx="533400" cy="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5</xdr:col>
      <xdr:colOff>9525</xdr:colOff>
      <xdr:row>25</xdr:row>
      <xdr:rowOff>66675</xdr:rowOff>
    </xdr:from>
    <xdr:ext cx="542925" cy="38100"/>
    <xdr:grpSp>
      <xdr:nvGrpSpPr>
        <xdr:cNvPr id="2" name="Shape 2"/>
        <xdr:cNvGrpSpPr/>
      </xdr:nvGrpSpPr>
      <xdr:grpSpPr>
        <a:xfrm>
          <a:off x="5074538" y="3780000"/>
          <a:ext cx="542925" cy="0"/>
          <a:chOff x="5074538" y="3780000"/>
          <a:chExt cx="542925" cy="0"/>
        </a:xfrm>
      </xdr:grpSpPr>
      <xdr:cxnSp>
        <xdr:nvCxnSpPr>
          <xdr:cNvPr id="36" name="Shape 36"/>
          <xdr:cNvCxnSpPr/>
        </xdr:nvCxnSpPr>
        <xdr:spPr>
          <a:xfrm rot="10800000">
            <a:off x="5074538" y="3780000"/>
            <a:ext cx="542925" cy="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352425</xdr:colOff>
      <xdr:row>22</xdr:row>
      <xdr:rowOff>104775</xdr:rowOff>
    </xdr:from>
    <xdr:ext cx="95250" cy="76200"/>
    <xdr:grpSp>
      <xdr:nvGrpSpPr>
        <xdr:cNvPr id="2" name="Shape 2"/>
        <xdr:cNvGrpSpPr/>
      </xdr:nvGrpSpPr>
      <xdr:grpSpPr>
        <a:xfrm>
          <a:off x="5298375" y="3741900"/>
          <a:ext cx="95250" cy="76200"/>
          <a:chOff x="5298375" y="3741900"/>
          <a:chExt cx="95250" cy="76200"/>
        </a:xfrm>
      </xdr:grpSpPr>
      <xdr:cxnSp>
        <xdr:nvCxnSpPr>
          <xdr:cNvPr id="37" name="Shape 37"/>
          <xdr:cNvCxnSpPr/>
        </xdr:nvCxnSpPr>
        <xdr:spPr>
          <a:xfrm flipH="1" rot="10800000">
            <a:off x="5298375" y="3741900"/>
            <a:ext cx="95250" cy="76200"/>
          </a:xfrm>
          <a:prstGeom prst="straightConnector1">
            <a:avLst/>
          </a:prstGeom>
          <a:noFill/>
          <a:ln cap="flat" cmpd="sng" w="9525">
            <a:solidFill>
              <a:srgbClr val="4A7DBA"/>
            </a:solidFill>
            <a:prstDash val="solid"/>
            <a:round/>
            <a:headEnd len="sm" w="sm" type="none"/>
            <a:tailEnd len="sm" w="sm" type="none"/>
          </a:ln>
        </xdr:spPr>
      </xdr:cxnSp>
    </xdr:grpSp>
    <xdr:clientData fLocksWithSheet="0"/>
  </xdr:oneCellAnchor>
  <xdr:oneCellAnchor>
    <xdr:from>
      <xdr:col>3</xdr:col>
      <xdr:colOff>0</xdr:colOff>
      <xdr:row>5</xdr:row>
      <xdr:rowOff>114300</xdr:rowOff>
    </xdr:from>
    <xdr:ext cx="714375" cy="561975"/>
    <xdr:grpSp>
      <xdr:nvGrpSpPr>
        <xdr:cNvPr id="2" name="Shape 2"/>
        <xdr:cNvGrpSpPr/>
      </xdr:nvGrpSpPr>
      <xdr:grpSpPr>
        <a:xfrm>
          <a:off x="4988813" y="3503775"/>
          <a:ext cx="714375" cy="552450"/>
          <a:chOff x="4988813" y="3503775"/>
          <a:chExt cx="714375" cy="552450"/>
        </a:xfrm>
      </xdr:grpSpPr>
      <xdr:cxnSp>
        <xdr:nvCxnSpPr>
          <xdr:cNvPr id="38" name="Shape 38"/>
          <xdr:cNvCxnSpPr/>
        </xdr:nvCxnSpPr>
        <xdr:spPr>
          <a:xfrm rot="10800000">
            <a:off x="4988813" y="3503775"/>
            <a:ext cx="714375" cy="55245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28575</xdr:colOff>
      <xdr:row>9</xdr:row>
      <xdr:rowOff>0</xdr:rowOff>
    </xdr:from>
    <xdr:ext cx="762000" cy="447675"/>
    <xdr:grpSp>
      <xdr:nvGrpSpPr>
        <xdr:cNvPr id="2" name="Shape 2"/>
        <xdr:cNvGrpSpPr/>
      </xdr:nvGrpSpPr>
      <xdr:grpSpPr>
        <a:xfrm>
          <a:off x="4969763" y="3560925"/>
          <a:ext cx="752475" cy="438150"/>
          <a:chOff x="4969763" y="3560925"/>
          <a:chExt cx="752475" cy="438150"/>
        </a:xfrm>
      </xdr:grpSpPr>
      <xdr:cxnSp>
        <xdr:nvCxnSpPr>
          <xdr:cNvPr id="39" name="Shape 39"/>
          <xdr:cNvCxnSpPr/>
        </xdr:nvCxnSpPr>
        <xdr:spPr>
          <a:xfrm rot="10800000">
            <a:off x="4969763" y="3560925"/>
            <a:ext cx="752475" cy="43815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6</xdr:col>
      <xdr:colOff>85725</xdr:colOff>
      <xdr:row>2</xdr:row>
      <xdr:rowOff>66675</xdr:rowOff>
    </xdr:from>
    <xdr:ext cx="638175" cy="114300"/>
    <xdr:grpSp>
      <xdr:nvGrpSpPr>
        <xdr:cNvPr id="2" name="Shape 2"/>
        <xdr:cNvGrpSpPr/>
      </xdr:nvGrpSpPr>
      <xdr:grpSpPr>
        <a:xfrm>
          <a:off x="5031675" y="3722850"/>
          <a:ext cx="628650" cy="114300"/>
          <a:chOff x="5031675" y="3722850"/>
          <a:chExt cx="628650" cy="114300"/>
        </a:xfrm>
      </xdr:grpSpPr>
      <xdr:cxnSp>
        <xdr:nvCxnSpPr>
          <xdr:cNvPr id="40" name="Shape 40"/>
          <xdr:cNvCxnSpPr/>
        </xdr:nvCxnSpPr>
        <xdr:spPr>
          <a:xfrm flipH="1" rot="10800000">
            <a:off x="5031675" y="3722850"/>
            <a:ext cx="628650" cy="114300"/>
          </a:xfrm>
          <a:prstGeom prst="straightConnector1">
            <a:avLst/>
          </a:prstGeom>
          <a:noFill/>
          <a:ln cap="flat" cmpd="sng" w="9525">
            <a:solidFill>
              <a:srgbClr val="4A7DBA"/>
            </a:solidFill>
            <a:prstDash val="solid"/>
            <a:round/>
            <a:headEnd len="sm" w="sm" type="none"/>
            <a:tailEnd len="med" w="med" type="stealth"/>
          </a:ln>
        </xdr:spPr>
      </xdr:cxnSp>
    </xdr:grpSp>
    <xdr:clientData fLocksWithSheet="0"/>
  </xdr:oneCellAnchor>
  <xdr:oneCellAnchor>
    <xdr:from>
      <xdr:col>2</xdr:col>
      <xdr:colOff>95250</xdr:colOff>
      <xdr:row>15</xdr:row>
      <xdr:rowOff>76200</xdr:rowOff>
    </xdr:from>
    <xdr:ext cx="600075" cy="38100"/>
    <xdr:grpSp>
      <xdr:nvGrpSpPr>
        <xdr:cNvPr id="2" name="Shape 2"/>
        <xdr:cNvGrpSpPr/>
      </xdr:nvGrpSpPr>
      <xdr:grpSpPr>
        <a:xfrm>
          <a:off x="5045963" y="3780000"/>
          <a:ext cx="600075" cy="0"/>
          <a:chOff x="5045963" y="3780000"/>
          <a:chExt cx="600075" cy="0"/>
        </a:xfrm>
      </xdr:grpSpPr>
      <xdr:cxnSp>
        <xdr:nvCxnSpPr>
          <xdr:cNvPr id="41" name="Shape 41"/>
          <xdr:cNvCxnSpPr/>
        </xdr:nvCxnSpPr>
        <xdr:spPr>
          <a:xfrm>
            <a:off x="5045963" y="3780000"/>
            <a:ext cx="600075" cy="0"/>
          </a:xfrm>
          <a:prstGeom prst="straightConnector1">
            <a:avLst/>
          </a:prstGeom>
          <a:noFill/>
          <a:ln cap="flat" cmpd="sng" w="9525">
            <a:solidFill>
              <a:srgbClr val="4A7DBA"/>
            </a:solidFill>
            <a:prstDash val="solid"/>
            <a:round/>
            <a:headEnd len="med" w="med" type="stealth"/>
            <a:tailEnd len="med" w="med" type="stealth"/>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304800" cy="314325"/>
    <xdr:sp>
      <xdr:nvSpPr>
        <xdr:cNvPr descr="Coronavirus : protocole de déconfinement" id="42" name="Shape 42"/>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171450</xdr:colOff>
      <xdr:row>0</xdr:row>
      <xdr:rowOff>0</xdr:rowOff>
    </xdr:from>
    <xdr:ext cx="1733550" cy="1019175"/>
    <xdr:pic>
      <xdr:nvPicPr>
        <xdr:cNvPr descr="logo-de-la-republique-francaise | Communauté de Communes Vallées et Plateau  d'Ardenne"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619125</xdr:colOff>
      <xdr:row>1</xdr:row>
      <xdr:rowOff>9525</xdr:rowOff>
    </xdr:from>
    <xdr:ext cx="1085850" cy="542925"/>
    <xdr:pic>
      <xdr:nvPicPr>
        <xdr:cNvPr descr="Fichier:Logo Cerfa.svg — Wikipédia"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552450</xdr:colOff>
      <xdr:row>65</xdr:row>
      <xdr:rowOff>171450</xdr:rowOff>
    </xdr:from>
    <xdr:ext cx="2962275" cy="1638300"/>
    <xdr:pic>
      <xdr:nvPicPr>
        <xdr:cNvPr descr="La place très floue du logiciel libre dans l'administration / Guide Open  Source" id="0" name="image10.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24.14"/>
    <col customWidth="1" min="3" max="3" width="16.14"/>
    <col customWidth="1" min="4" max="4" width="24.57"/>
    <col customWidth="1" min="5" max="5" width="13.43"/>
    <col customWidth="1" min="6" max="6" width="15.57"/>
    <col customWidth="1" min="7" max="7" width="23.14"/>
    <col customWidth="1" min="8" max="8" width="17.57"/>
    <col customWidth="1" min="9" max="26" width="10.71"/>
  </cols>
  <sheetData>
    <row r="1" ht="22.5" customHeight="1">
      <c r="B1" s="1"/>
      <c r="C1" s="1"/>
      <c r="D1" s="2" t="s">
        <v>0</v>
      </c>
      <c r="E1" s="3"/>
      <c r="F1" s="3"/>
      <c r="G1" s="3"/>
      <c r="H1" s="4"/>
    </row>
    <row r="2" ht="22.5" customHeight="1">
      <c r="B2" s="1"/>
      <c r="C2" s="1"/>
      <c r="D2" s="5"/>
      <c r="E2" s="6"/>
      <c r="F2" s="6"/>
      <c r="G2" s="6"/>
      <c r="H2" s="7"/>
    </row>
    <row r="3" ht="22.5" customHeight="1">
      <c r="B3" s="1"/>
      <c r="C3" s="1"/>
      <c r="D3" s="8" t="s">
        <v>1</v>
      </c>
      <c r="E3" s="9"/>
      <c r="F3" s="10"/>
      <c r="G3" s="11"/>
      <c r="H3" s="12"/>
    </row>
    <row r="4" ht="22.5" customHeight="1">
      <c r="B4" s="1"/>
      <c r="C4" s="1"/>
      <c r="D4" s="13"/>
      <c r="E4" s="13"/>
      <c r="F4" s="13"/>
      <c r="G4" s="13"/>
      <c r="H4" s="13"/>
    </row>
    <row r="5" ht="29.25" customHeight="1">
      <c r="B5" s="14" t="s">
        <v>2</v>
      </c>
      <c r="C5" s="15"/>
      <c r="D5" s="16"/>
      <c r="E5" s="17" t="s">
        <v>3</v>
      </c>
      <c r="F5" s="15"/>
      <c r="G5" s="18"/>
      <c r="H5" s="19"/>
    </row>
    <row r="6" ht="18.75" customHeight="1">
      <c r="B6" s="1"/>
      <c r="C6" s="1"/>
      <c r="D6" s="1"/>
      <c r="E6" s="1"/>
      <c r="F6" s="1"/>
      <c r="G6" s="1"/>
      <c r="H6" s="1"/>
    </row>
    <row r="7" ht="27.0" customHeight="1">
      <c r="B7" s="20" t="s">
        <v>4</v>
      </c>
      <c r="C7" s="21" t="s">
        <v>5</v>
      </c>
      <c r="D7" s="22" t="s">
        <v>6</v>
      </c>
      <c r="E7" s="23"/>
      <c r="F7" s="23"/>
      <c r="G7" s="24" t="s">
        <v>7</v>
      </c>
      <c r="H7" s="25"/>
    </row>
    <row r="8" ht="27.0" customHeight="1">
      <c r="B8" s="26" t="s">
        <v>8</v>
      </c>
      <c r="C8" s="27"/>
      <c r="D8" s="28"/>
      <c r="E8" s="28"/>
      <c r="F8" s="28"/>
      <c r="G8" s="28"/>
      <c r="H8" s="29"/>
    </row>
    <row r="9" ht="27.0" customHeight="1">
      <c r="B9" s="30" t="s">
        <v>9</v>
      </c>
      <c r="C9" s="31"/>
      <c r="D9" s="32"/>
      <c r="E9" s="33" t="s">
        <v>10</v>
      </c>
      <c r="F9" s="34"/>
      <c r="G9" s="28"/>
      <c r="H9" s="29"/>
    </row>
    <row r="10" ht="27.0" customHeight="1">
      <c r="B10" s="30" t="s">
        <v>11</v>
      </c>
      <c r="C10" s="31"/>
      <c r="D10" s="28"/>
      <c r="E10" s="28"/>
      <c r="F10" s="28"/>
      <c r="G10" s="35" t="s">
        <v>12</v>
      </c>
      <c r="H10" s="36"/>
    </row>
    <row r="11" ht="27.0" customHeight="1">
      <c r="B11" s="30" t="s">
        <v>13</v>
      </c>
      <c r="C11" s="37"/>
      <c r="D11" s="38" t="s">
        <v>14</v>
      </c>
      <c r="E11" s="39"/>
      <c r="F11" s="28"/>
      <c r="G11" s="28"/>
      <c r="H11" s="29"/>
    </row>
    <row r="12" ht="27.0" customHeight="1">
      <c r="B12" s="40" t="s">
        <v>15</v>
      </c>
      <c r="C12" s="41"/>
      <c r="D12" s="6"/>
      <c r="E12" s="6"/>
      <c r="F12" s="6"/>
      <c r="G12" s="6"/>
      <c r="H12" s="7"/>
    </row>
    <row r="13" ht="27.0" customHeight="1">
      <c r="B13" s="30" t="s">
        <v>16</v>
      </c>
      <c r="C13" s="39"/>
      <c r="D13" s="32"/>
      <c r="E13" s="42" t="s">
        <v>17</v>
      </c>
      <c r="F13" s="39"/>
      <c r="G13" s="28"/>
      <c r="H13" s="29"/>
    </row>
    <row r="14" ht="27.0" customHeight="1">
      <c r="B14" s="43" t="s">
        <v>18</v>
      </c>
      <c r="C14" s="44"/>
      <c r="D14" s="45"/>
      <c r="E14" s="46" t="s">
        <v>19</v>
      </c>
      <c r="F14" s="47"/>
      <c r="G14" s="48"/>
      <c r="H14" s="49"/>
    </row>
    <row r="15" ht="22.5" customHeight="1">
      <c r="B15" s="50" t="s">
        <v>20</v>
      </c>
      <c r="C15" s="45"/>
      <c r="D15" s="51"/>
      <c r="E15" s="48"/>
      <c r="F15" s="48"/>
      <c r="G15" s="48"/>
      <c r="H15" s="49"/>
    </row>
    <row r="16" ht="22.5" customHeight="1">
      <c r="B16" s="52"/>
      <c r="C16" s="53"/>
      <c r="D16" s="54"/>
      <c r="E16" s="55"/>
      <c r="F16" s="55"/>
      <c r="G16" s="55"/>
      <c r="H16" s="56"/>
    </row>
    <row r="17" ht="29.25" customHeight="1">
      <c r="B17" s="57" t="s">
        <v>21</v>
      </c>
      <c r="C17" s="58" t="s">
        <v>22</v>
      </c>
      <c r="D17" s="58" t="s">
        <v>23</v>
      </c>
      <c r="E17" s="58" t="s">
        <v>24</v>
      </c>
      <c r="F17" s="59" t="s">
        <v>25</v>
      </c>
      <c r="G17" s="60" t="s">
        <v>26</v>
      </c>
      <c r="H17" s="61"/>
    </row>
    <row r="18" ht="29.25" customHeight="1">
      <c r="B18" s="62" t="s">
        <v>27</v>
      </c>
      <c r="C18" s="63" t="s">
        <v>28</v>
      </c>
      <c r="D18" s="63" t="s">
        <v>29</v>
      </c>
      <c r="E18" s="64" t="s">
        <v>30</v>
      </c>
      <c r="F18" s="65"/>
      <c r="G18" s="64" t="s">
        <v>31</v>
      </c>
      <c r="H18" s="66"/>
    </row>
    <row r="19" ht="22.5" customHeight="1">
      <c r="B19" s="67" t="s">
        <v>32</v>
      </c>
      <c r="C19" s="68"/>
      <c r="D19" s="28"/>
      <c r="E19" s="69"/>
      <c r="F19" s="69"/>
      <c r="G19" s="69"/>
      <c r="H19" s="70"/>
    </row>
    <row r="20" ht="27.0" customHeight="1">
      <c r="B20" s="71" t="s">
        <v>33</v>
      </c>
      <c r="C20" s="72" t="s">
        <v>34</v>
      </c>
      <c r="D20" s="73"/>
      <c r="E20" s="74" t="s">
        <v>35</v>
      </c>
      <c r="F20" s="73"/>
      <c r="G20" s="72" t="s">
        <v>36</v>
      </c>
      <c r="H20" s="75" t="s">
        <v>37</v>
      </c>
    </row>
    <row r="21" ht="27.0" customHeight="1">
      <c r="B21" s="76" t="s">
        <v>38</v>
      </c>
      <c r="C21" s="48"/>
      <c r="D21" s="77"/>
      <c r="E21" s="46" t="s">
        <v>39</v>
      </c>
      <c r="F21" s="48"/>
      <c r="G21" s="78"/>
      <c r="H21" s="79" t="s">
        <v>40</v>
      </c>
    </row>
    <row r="22" ht="27.0" customHeight="1">
      <c r="B22" s="80" t="s">
        <v>41</v>
      </c>
      <c r="C22" s="81" t="s">
        <v>42</v>
      </c>
      <c r="D22" s="81" t="s">
        <v>43</v>
      </c>
      <c r="E22" s="82" t="s">
        <v>44</v>
      </c>
      <c r="F22" s="82" t="s">
        <v>45</v>
      </c>
      <c r="G22" s="82" t="s">
        <v>46</v>
      </c>
      <c r="H22" s="83" t="s">
        <v>47</v>
      </c>
    </row>
    <row r="23" ht="27.0" customHeight="1">
      <c r="B23" s="84" t="s">
        <v>48</v>
      </c>
      <c r="C23" s="85" t="s">
        <v>49</v>
      </c>
      <c r="D23" s="63" t="s">
        <v>50</v>
      </c>
      <c r="E23" s="85" t="s">
        <v>51</v>
      </c>
      <c r="F23" s="63" t="s">
        <v>52</v>
      </c>
      <c r="G23" s="85" t="s">
        <v>53</v>
      </c>
      <c r="H23" s="83" t="s">
        <v>54</v>
      </c>
    </row>
    <row r="24" ht="27.0" customHeight="1">
      <c r="B24" s="86" t="s">
        <v>55</v>
      </c>
      <c r="C24" s="87" t="s">
        <v>56</v>
      </c>
      <c r="D24" s="88"/>
      <c r="E24" s="89" t="s">
        <v>57</v>
      </c>
      <c r="F24" s="32"/>
      <c r="G24" s="90"/>
      <c r="H24" s="29"/>
    </row>
    <row r="25" ht="22.5" customHeight="1">
      <c r="B25" s="91" t="s">
        <v>20</v>
      </c>
      <c r="C25" s="92"/>
      <c r="D25" s="46"/>
      <c r="E25" s="48"/>
      <c r="F25" s="48"/>
      <c r="G25" s="48"/>
      <c r="H25" s="49"/>
    </row>
    <row r="26" ht="22.5" customHeight="1">
      <c r="B26" s="93"/>
      <c r="C26" s="94"/>
      <c r="D26" s="95"/>
      <c r="H26" s="96"/>
    </row>
    <row r="27" ht="22.5" customHeight="1">
      <c r="B27" s="97"/>
      <c r="C27" s="98"/>
      <c r="D27" s="54"/>
      <c r="E27" s="55"/>
      <c r="F27" s="55"/>
      <c r="G27" s="55"/>
      <c r="H27" s="56"/>
    </row>
    <row r="28" ht="22.5" customHeight="1">
      <c r="B28" s="94"/>
      <c r="C28" s="94"/>
      <c r="D28" s="99"/>
    </row>
    <row r="29" ht="27.0" customHeight="1">
      <c r="B29" s="100" t="s">
        <v>58</v>
      </c>
      <c r="C29" s="101" t="s">
        <v>59</v>
      </c>
      <c r="D29" s="102"/>
      <c r="E29" s="103" t="s">
        <v>60</v>
      </c>
      <c r="F29" s="104"/>
      <c r="G29" s="105" t="s">
        <v>61</v>
      </c>
      <c r="H29" s="106" t="s">
        <v>62</v>
      </c>
    </row>
    <row r="30" ht="27.0" customHeight="1">
      <c r="B30" s="107" t="s">
        <v>63</v>
      </c>
      <c r="C30" s="108" t="s">
        <v>64</v>
      </c>
      <c r="D30" s="32"/>
      <c r="E30" s="108" t="s">
        <v>65</v>
      </c>
      <c r="F30" s="32"/>
      <c r="G30" s="108" t="s">
        <v>66</v>
      </c>
      <c r="H30" s="29"/>
    </row>
    <row r="31" ht="27.0" customHeight="1">
      <c r="B31" s="109" t="s">
        <v>67</v>
      </c>
      <c r="C31" s="110" t="s">
        <v>68</v>
      </c>
      <c r="D31" s="111" t="s">
        <v>69</v>
      </c>
      <c r="E31" s="112" t="s">
        <v>70</v>
      </c>
      <c r="F31" s="45"/>
      <c r="G31" s="112" t="s">
        <v>54</v>
      </c>
      <c r="H31" s="49"/>
    </row>
    <row r="32" ht="27.0" customHeight="1">
      <c r="B32" s="113" t="s">
        <v>71</v>
      </c>
      <c r="C32" s="114"/>
      <c r="D32" s="115" t="s">
        <v>72</v>
      </c>
      <c r="E32" s="116"/>
      <c r="F32" s="117" t="s">
        <v>73</v>
      </c>
      <c r="G32" s="104"/>
      <c r="H32" s="118"/>
    </row>
    <row r="33" ht="27.0" customHeight="1">
      <c r="B33" s="119" t="s">
        <v>74</v>
      </c>
      <c r="C33" s="120"/>
      <c r="D33" s="121" t="s">
        <v>75</v>
      </c>
      <c r="E33" s="121"/>
      <c r="F33" s="122" t="s">
        <v>76</v>
      </c>
      <c r="G33" s="32"/>
      <c r="H33" s="123"/>
      <c r="K33" s="124"/>
      <c r="L33" s="124"/>
    </row>
    <row r="34" ht="27.0" customHeight="1">
      <c r="B34" s="125" t="s">
        <v>77</v>
      </c>
      <c r="C34" s="126"/>
      <c r="D34" s="127" t="s">
        <v>78</v>
      </c>
      <c r="E34" s="128"/>
      <c r="F34" s="129" t="s">
        <v>79</v>
      </c>
      <c r="G34" s="55"/>
      <c r="H34" s="130"/>
      <c r="K34" s="131"/>
    </row>
    <row r="35" ht="27.0" customHeight="1">
      <c r="B35" s="132" t="s">
        <v>80</v>
      </c>
      <c r="C35" s="133"/>
      <c r="D35" s="134" t="s">
        <v>81</v>
      </c>
      <c r="E35" s="135"/>
      <c r="F35" s="136" t="s">
        <v>82</v>
      </c>
      <c r="G35" s="137"/>
      <c r="H35" s="19"/>
      <c r="K35" s="131"/>
    </row>
    <row r="36" ht="27.0" customHeight="1">
      <c r="B36" s="138" t="s">
        <v>83</v>
      </c>
      <c r="C36" s="114"/>
      <c r="D36" s="139" t="s">
        <v>84</v>
      </c>
      <c r="E36" s="139"/>
      <c r="F36" s="114" t="s">
        <v>85</v>
      </c>
      <c r="G36" s="140"/>
      <c r="H36" s="4"/>
      <c r="K36" s="131"/>
    </row>
    <row r="37" ht="27.0" customHeight="1">
      <c r="B37" s="67" t="s">
        <v>86</v>
      </c>
      <c r="C37" s="33"/>
      <c r="D37" s="120" t="s">
        <v>87</v>
      </c>
      <c r="E37" s="32"/>
      <c r="F37" s="42" t="s">
        <v>88</v>
      </c>
      <c r="G37" s="120"/>
      <c r="H37" s="70"/>
    </row>
    <row r="38" ht="27.0" customHeight="1">
      <c r="B38" s="141" t="s">
        <v>89</v>
      </c>
      <c r="C38" s="142"/>
      <c r="D38" s="45"/>
      <c r="E38" s="143"/>
      <c r="F38" s="143"/>
      <c r="G38" s="144"/>
      <c r="H38" s="145"/>
    </row>
    <row r="39" ht="22.5" customHeight="1">
      <c r="B39" s="125" t="s">
        <v>90</v>
      </c>
      <c r="C39" s="146"/>
      <c r="D39" s="11"/>
      <c r="E39" s="11"/>
      <c r="F39" s="11"/>
      <c r="G39" s="11"/>
      <c r="H39" s="12"/>
    </row>
    <row r="40" ht="22.5" customHeight="1"/>
    <row r="41" ht="15.75" customHeight="1">
      <c r="B41" s="147" t="s">
        <v>91</v>
      </c>
      <c r="C41" s="18"/>
      <c r="D41" s="19"/>
      <c r="E41" s="148" t="s">
        <v>92</v>
      </c>
      <c r="F41" s="149"/>
      <c r="G41" s="150"/>
      <c r="H41" s="151"/>
    </row>
    <row r="42" ht="15.75" customHeight="1">
      <c r="B42" s="152" t="s">
        <v>93</v>
      </c>
      <c r="C42" s="153"/>
      <c r="D42" s="153"/>
      <c r="E42" s="154"/>
      <c r="F42" s="154"/>
      <c r="G42" s="154"/>
      <c r="H42" s="155"/>
    </row>
    <row r="43" ht="15.75" customHeight="1">
      <c r="B43" s="156"/>
      <c r="C43" s="156"/>
      <c r="D43" s="156"/>
      <c r="E43" s="156"/>
      <c r="F43" s="156"/>
      <c r="G43" s="156"/>
      <c r="H43" s="156"/>
    </row>
    <row r="44" ht="15.75" customHeight="1">
      <c r="B44" s="156"/>
      <c r="C44" s="156"/>
      <c r="D44" s="156"/>
      <c r="E44" s="156"/>
      <c r="F44" s="156"/>
      <c r="G44" s="156"/>
      <c r="H44" s="156"/>
    </row>
    <row r="45" ht="15.75" customHeight="1">
      <c r="B45" s="156"/>
      <c r="C45" s="156"/>
      <c r="D45" s="156"/>
      <c r="E45" s="156"/>
      <c r="F45" s="156"/>
      <c r="G45" s="156"/>
      <c r="H45" s="156"/>
    </row>
    <row r="46" ht="15.75" customHeight="1">
      <c r="B46" s="156"/>
      <c r="C46" s="156"/>
      <c r="D46" s="156"/>
      <c r="E46" s="156"/>
      <c r="F46" s="156"/>
      <c r="G46" s="156"/>
      <c r="H46" s="156"/>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D1:H2"/>
    <mergeCell ref="D3:E3"/>
    <mergeCell ref="F3:H3"/>
    <mergeCell ref="C5:D5"/>
    <mergeCell ref="F5:H5"/>
    <mergeCell ref="C8:H8"/>
    <mergeCell ref="F9:H9"/>
    <mergeCell ref="C14:D14"/>
    <mergeCell ref="B15:C16"/>
    <mergeCell ref="C19:D19"/>
    <mergeCell ref="C20:D20"/>
    <mergeCell ref="B21:C21"/>
    <mergeCell ref="C9:D9"/>
    <mergeCell ref="C10:F10"/>
    <mergeCell ref="E11:H11"/>
    <mergeCell ref="C12:H12"/>
    <mergeCell ref="C13:D13"/>
    <mergeCell ref="F13:H13"/>
    <mergeCell ref="F14:H14"/>
    <mergeCell ref="D15:H15"/>
    <mergeCell ref="D16:H16"/>
    <mergeCell ref="G17:H17"/>
    <mergeCell ref="E18:F18"/>
    <mergeCell ref="G18:H18"/>
    <mergeCell ref="E20:F20"/>
    <mergeCell ref="E21:F21"/>
    <mergeCell ref="E24:F24"/>
    <mergeCell ref="G24:H24"/>
    <mergeCell ref="D25:H25"/>
    <mergeCell ref="D26:H26"/>
    <mergeCell ref="D27:H27"/>
    <mergeCell ref="D28:H28"/>
    <mergeCell ref="E29:F29"/>
    <mergeCell ref="F33:G33"/>
    <mergeCell ref="F34:G34"/>
    <mergeCell ref="G35:H35"/>
    <mergeCell ref="G36:H36"/>
    <mergeCell ref="D37:E37"/>
    <mergeCell ref="C38:D38"/>
    <mergeCell ref="C39:H39"/>
    <mergeCell ref="B41:D41"/>
    <mergeCell ref="K34:N34"/>
    <mergeCell ref="K35:N35"/>
    <mergeCell ref="K36:N36"/>
    <mergeCell ref="C30:D30"/>
    <mergeCell ref="E30:F30"/>
    <mergeCell ref="G30:H30"/>
    <mergeCell ref="E31:F31"/>
    <mergeCell ref="G31:H31"/>
    <mergeCell ref="F32:G32"/>
    <mergeCell ref="L33:N33"/>
  </mergeCells>
  <dataValidations>
    <dataValidation type="list" allowBlank="1" showErrorMessage="1" sqref="C19">
      <formula1>"Client,Commercial,Samantha"</formula1>
    </dataValidation>
    <dataValidation type="list" allowBlank="1" showErrorMessage="1" sqref="F22">
      <formula1>"MURS ITI,MURS ITE,MURS ITI et ITE"</formula1>
    </dataValidation>
    <dataValidation type="list" allowBlank="1" showErrorMessage="1" sqref="G22">
      <formula1>"GARAGE,VENTILATION,VELUX,COUVERTURE"</formula1>
    </dataValidation>
    <dataValidation type="list" allowBlank="1" showErrorMessage="1" sqref="G35">
      <formula1>"Standard,Ramspot"</formula1>
    </dataValidation>
    <dataValidation type="list" allowBlank="1" showErrorMessage="1" sqref="H22">
      <formula1>"PLANCHER BAS,VIDE SANITAIRE,VÉLUX,COUVERTURE"</formula1>
    </dataValidation>
    <dataValidation type="list" allowBlank="1" showErrorMessage="1" sqref="D29">
      <formula1>"Ouverte,Ferméee"</formula1>
    </dataValidation>
    <dataValidation type="list" allowBlank="1" showErrorMessage="1" sqref="C22">
      <formula1>"COMBLES,PLAFOND INTERMÉDIAIRE"</formula1>
    </dataValidation>
    <dataValidation type="list" allowBlank="1" showErrorMessage="1" sqref="E34">
      <formula1>"oui,non"</formula1>
    </dataValidation>
    <dataValidation type="list" allowBlank="1" showErrorMessage="1" sqref="C7">
      <formula1>"Mr,Mme,Mr et Mme"</formula1>
    </dataValidation>
    <dataValidation type="list" allowBlank="1" showErrorMessage="1" sqref="D24">
      <formula1>"BOIS,ELEC,FIOUL,BOIS+ELEC,POMPE A CHALEUR,GAZ,AUTRE"</formula1>
    </dataValidation>
    <dataValidation type="list" allowBlank="1" showErrorMessage="1" sqref="C32 E32 H32:H34 C34:C37">
      <formula1>"OUI,NON"</formula1>
    </dataValidation>
    <dataValidation type="list" allowBlank="1" showErrorMessage="1" sqref="F3">
      <formula1>"Philippe MET,Gil BERTHOU,Vincent LE FAOU,Alexis PAPIN,Lionel CARDINAL,Romuald HUBERT"</formula1>
    </dataValidation>
  </dataValidations>
  <printOptions horizontalCentered="1"/>
  <pageMargins bottom="0.7874015748031497" footer="0.0" header="0.0" left="0.31496062992125984" right="0.03937007874015748" top="0.7874015748031497"/>
  <pageSetup paperSize="9" scale="7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9.0"/>
    <col customWidth="1" min="2" max="2" width="15.86"/>
    <col customWidth="1" hidden="1" min="3" max="3" width="11.57"/>
    <col customWidth="1" min="4" max="4" width="15.71"/>
    <col customWidth="1" min="5" max="5" width="10.71"/>
    <col customWidth="1" min="6" max="6" width="45.86"/>
    <col customWidth="1" min="7" max="7" width="21.43"/>
    <col customWidth="1" min="8" max="8" width="57.0"/>
    <col customWidth="1" min="9" max="9" width="0.29"/>
    <col customWidth="1" min="10" max="10" width="7.71"/>
    <col customWidth="1" min="11" max="26" width="10.71"/>
  </cols>
  <sheetData>
    <row r="1">
      <c r="A1" s="157" t="s">
        <v>94</v>
      </c>
      <c r="B1" s="158"/>
      <c r="C1" s="158"/>
      <c r="D1" s="158"/>
      <c r="E1" s="158"/>
      <c r="F1" s="158"/>
      <c r="G1" s="158"/>
      <c r="H1" s="158"/>
      <c r="I1" s="158"/>
      <c r="J1" s="158"/>
    </row>
    <row r="2">
      <c r="A2" s="159"/>
      <c r="B2" s="158"/>
      <c r="C2" s="158"/>
      <c r="D2" s="158"/>
      <c r="E2" s="158"/>
      <c r="F2" s="158"/>
      <c r="G2" s="158"/>
      <c r="H2" s="158"/>
      <c r="I2" s="158"/>
      <c r="J2" s="158"/>
    </row>
    <row r="3">
      <c r="A3" s="157"/>
      <c r="B3" s="158"/>
      <c r="C3" s="158"/>
      <c r="D3" s="158"/>
      <c r="E3" s="158"/>
      <c r="F3" s="158"/>
      <c r="G3" s="158"/>
      <c r="H3" s="158"/>
      <c r="I3" s="158"/>
      <c r="J3" s="158"/>
    </row>
    <row r="5" ht="21.0" customHeight="1"/>
    <row r="6" ht="21.0" customHeight="1"/>
    <row r="7" ht="56.25" customHeight="1">
      <c r="A7" s="160" t="s">
        <v>95</v>
      </c>
    </row>
    <row r="8" ht="86.25" customHeight="1">
      <c r="A8" s="161" t="s">
        <v>96</v>
      </c>
      <c r="J8" s="162"/>
      <c r="K8" s="163"/>
      <c r="L8" s="163"/>
      <c r="M8" s="163"/>
      <c r="N8" s="163"/>
      <c r="O8" s="163"/>
      <c r="P8" s="163"/>
      <c r="Q8" s="163"/>
      <c r="R8" s="163"/>
      <c r="S8" s="163"/>
      <c r="T8" s="163"/>
      <c r="U8" s="163"/>
      <c r="V8" s="163"/>
      <c r="W8" s="163"/>
      <c r="X8" s="163"/>
      <c r="Y8" s="163"/>
      <c r="Z8" s="163"/>
    </row>
    <row r="9">
      <c r="A9" s="164"/>
      <c r="B9" s="165"/>
      <c r="C9" s="165"/>
      <c r="D9" s="165"/>
      <c r="E9" s="165"/>
      <c r="F9" s="165"/>
      <c r="G9" s="165"/>
      <c r="H9" s="165"/>
      <c r="I9" s="165"/>
      <c r="J9" s="166"/>
      <c r="K9" s="163"/>
      <c r="L9" s="163"/>
      <c r="M9" s="163"/>
      <c r="N9" s="163"/>
      <c r="O9" s="163"/>
      <c r="P9" s="163"/>
      <c r="Q9" s="163"/>
      <c r="R9" s="163"/>
      <c r="S9" s="163"/>
      <c r="T9" s="163"/>
      <c r="U9" s="163"/>
      <c r="V9" s="163"/>
      <c r="W9" s="163"/>
      <c r="X9" s="163"/>
      <c r="Y9" s="163"/>
      <c r="Z9" s="163"/>
    </row>
    <row r="10" ht="30.0" customHeight="1">
      <c r="A10" s="167" t="s">
        <v>97</v>
      </c>
      <c r="B10" s="168"/>
      <c r="C10" s="168"/>
      <c r="D10" s="168"/>
      <c r="E10" s="168"/>
      <c r="F10" s="168"/>
      <c r="G10" s="168"/>
      <c r="H10" s="168"/>
      <c r="I10" s="165"/>
      <c r="J10" s="166"/>
      <c r="K10" s="163"/>
      <c r="L10" s="163"/>
      <c r="M10" s="163"/>
      <c r="N10" s="163"/>
      <c r="O10" s="163"/>
      <c r="P10" s="163"/>
      <c r="Q10" s="163"/>
      <c r="R10" s="163"/>
      <c r="S10" s="163"/>
      <c r="T10" s="163"/>
      <c r="U10" s="163"/>
      <c r="V10" s="163"/>
      <c r="W10" s="163"/>
      <c r="X10" s="163"/>
      <c r="Y10" s="163"/>
      <c r="Z10" s="163"/>
    </row>
    <row r="11">
      <c r="A11" s="169" t="s">
        <v>98</v>
      </c>
      <c r="B11" s="170" t="str">
        <f>'Liens à compléter'!B8</f>
        <v/>
      </c>
      <c r="C11" s="171" t="s">
        <v>99</v>
      </c>
      <c r="D11" s="172" t="s">
        <v>100</v>
      </c>
      <c r="E11" s="168"/>
      <c r="F11" s="168"/>
      <c r="G11" s="173"/>
      <c r="H11" s="168"/>
      <c r="I11" s="165"/>
      <c r="J11" s="166"/>
      <c r="K11" s="163"/>
      <c r="L11" s="163"/>
      <c r="M11" s="163"/>
      <c r="N11" s="163"/>
      <c r="O11" s="163"/>
      <c r="P11" s="163"/>
      <c r="Q11" s="163"/>
      <c r="R11" s="163"/>
      <c r="S11" s="163"/>
      <c r="T11" s="163"/>
      <c r="U11" s="163"/>
      <c r="V11" s="163"/>
      <c r="W11" s="163"/>
      <c r="X11" s="163"/>
      <c r="Y11" s="163"/>
      <c r="Z11" s="163"/>
    </row>
    <row r="12" ht="21.75" customHeight="1">
      <c r="A12" s="174" t="s">
        <v>101</v>
      </c>
      <c r="B12" s="175"/>
      <c r="C12" s="168"/>
      <c r="D12" s="168"/>
      <c r="E12" s="168"/>
      <c r="F12" s="176"/>
      <c r="G12" s="177"/>
      <c r="H12" s="167" t="s">
        <v>99</v>
      </c>
      <c r="I12" s="165"/>
      <c r="J12" s="166"/>
      <c r="K12" s="163"/>
      <c r="L12" s="163"/>
      <c r="M12" s="163"/>
      <c r="N12" s="163"/>
      <c r="O12" s="163"/>
      <c r="P12" s="163"/>
      <c r="Q12" s="163"/>
      <c r="R12" s="163"/>
      <c r="S12" s="163"/>
      <c r="T12" s="163"/>
      <c r="U12" s="163"/>
      <c r="V12" s="163"/>
      <c r="W12" s="163"/>
      <c r="X12" s="163"/>
      <c r="Y12" s="163"/>
      <c r="Z12" s="163"/>
    </row>
    <row r="13">
      <c r="A13" s="174" t="s">
        <v>102</v>
      </c>
      <c r="B13" s="175"/>
      <c r="C13" s="168"/>
      <c r="D13" s="168"/>
      <c r="E13" s="168"/>
      <c r="F13" s="168"/>
      <c r="G13" s="178"/>
      <c r="H13" s="167" t="s">
        <v>103</v>
      </c>
      <c r="I13" s="165"/>
      <c r="J13" s="166"/>
      <c r="K13" s="163"/>
      <c r="L13" s="163"/>
      <c r="M13" s="163"/>
      <c r="N13" s="163"/>
      <c r="O13" s="163"/>
      <c r="P13" s="163"/>
      <c r="Q13" s="163"/>
      <c r="R13" s="163"/>
      <c r="S13" s="163"/>
      <c r="T13" s="163"/>
      <c r="U13" s="163"/>
      <c r="V13" s="163"/>
      <c r="W13" s="163"/>
      <c r="X13" s="163"/>
      <c r="Y13" s="163"/>
      <c r="Z13" s="163"/>
    </row>
    <row r="14">
      <c r="A14" s="179" t="s">
        <v>104</v>
      </c>
      <c r="E14" s="168"/>
      <c r="F14" s="168"/>
      <c r="G14" s="178"/>
      <c r="H14" s="167"/>
      <c r="I14" s="165"/>
      <c r="J14" s="166"/>
      <c r="K14" s="163"/>
      <c r="L14" s="163"/>
      <c r="M14" s="163"/>
      <c r="N14" s="163"/>
      <c r="O14" s="163"/>
      <c r="P14" s="163"/>
      <c r="Q14" s="163"/>
      <c r="R14" s="163"/>
      <c r="S14" s="163"/>
      <c r="T14" s="163"/>
      <c r="U14" s="163"/>
      <c r="V14" s="163"/>
      <c r="W14" s="163"/>
      <c r="X14" s="163"/>
      <c r="Y14" s="163"/>
      <c r="Z14" s="163"/>
    </row>
    <row r="15">
      <c r="A15" s="172" t="s">
        <v>105</v>
      </c>
      <c r="B15" s="172"/>
      <c r="C15" s="172"/>
      <c r="D15" s="172"/>
      <c r="E15" s="172"/>
      <c r="F15" s="172"/>
      <c r="G15" s="177"/>
      <c r="H15" s="172" t="s">
        <v>106</v>
      </c>
      <c r="I15" s="165"/>
      <c r="J15" s="166"/>
      <c r="K15" s="163"/>
      <c r="L15" s="163"/>
      <c r="M15" s="163"/>
      <c r="N15" s="163"/>
      <c r="O15" s="163"/>
      <c r="P15" s="163"/>
      <c r="Q15" s="163"/>
      <c r="R15" s="163"/>
      <c r="S15" s="163"/>
      <c r="T15" s="163"/>
      <c r="U15" s="163"/>
      <c r="V15" s="163"/>
      <c r="W15" s="163"/>
      <c r="X15" s="163"/>
      <c r="Y15" s="163"/>
      <c r="Z15" s="163"/>
    </row>
    <row r="16">
      <c r="A16" s="174" t="s">
        <v>107</v>
      </c>
      <c r="B16" s="180" t="s">
        <v>108</v>
      </c>
      <c r="C16" s="181"/>
      <c r="D16" s="181"/>
      <c r="E16" s="182"/>
      <c r="F16" s="179" t="s">
        <v>109</v>
      </c>
      <c r="G16" s="177"/>
      <c r="H16" s="167" t="s">
        <v>99</v>
      </c>
      <c r="I16" s="165"/>
      <c r="J16" s="166"/>
      <c r="K16" s="163"/>
      <c r="L16" s="163"/>
      <c r="M16" s="163"/>
      <c r="N16" s="163"/>
      <c r="O16" s="163"/>
      <c r="P16" s="163"/>
      <c r="Q16" s="163"/>
      <c r="R16" s="163"/>
      <c r="S16" s="163"/>
      <c r="T16" s="163"/>
      <c r="U16" s="163"/>
      <c r="V16" s="163"/>
      <c r="W16" s="163"/>
      <c r="X16" s="163"/>
      <c r="Y16" s="163"/>
      <c r="Z16" s="163"/>
    </row>
    <row r="17">
      <c r="A17" s="167" t="s">
        <v>110</v>
      </c>
      <c r="B17" s="168"/>
      <c r="C17" s="168"/>
      <c r="D17" s="168"/>
      <c r="E17" s="168"/>
      <c r="F17" s="168"/>
      <c r="G17" s="168"/>
      <c r="H17" s="168"/>
      <c r="I17" s="165"/>
      <c r="J17" s="166"/>
      <c r="K17" s="163"/>
      <c r="L17" s="163"/>
      <c r="M17" s="163"/>
      <c r="N17" s="163"/>
      <c r="O17" s="163"/>
      <c r="P17" s="163"/>
      <c r="Q17" s="163"/>
      <c r="R17" s="163"/>
      <c r="S17" s="163"/>
      <c r="T17" s="163"/>
      <c r="U17" s="163"/>
      <c r="V17" s="163"/>
      <c r="W17" s="163"/>
      <c r="X17" s="163"/>
      <c r="Y17" s="163"/>
      <c r="Z17" s="163"/>
    </row>
    <row r="18">
      <c r="A18" s="183" t="s">
        <v>111</v>
      </c>
      <c r="B18" s="48"/>
      <c r="C18" s="48"/>
      <c r="D18" s="45"/>
      <c r="E18" s="184" t="s">
        <v>112</v>
      </c>
      <c r="F18" s="65"/>
      <c r="G18" s="183" t="s">
        <v>113</v>
      </c>
      <c r="H18" s="48"/>
      <c r="I18" s="45"/>
      <c r="J18" s="185"/>
    </row>
    <row r="19" ht="37.5" customHeight="1">
      <c r="A19" s="186"/>
      <c r="B19" s="6"/>
      <c r="C19" s="6"/>
      <c r="D19" s="73"/>
      <c r="E19" s="187" t="s">
        <v>114</v>
      </c>
      <c r="F19" s="188"/>
      <c r="G19" s="189"/>
      <c r="H19" s="190"/>
      <c r="I19" s="191"/>
      <c r="J19" s="185"/>
    </row>
    <row r="20" ht="33.75" customHeight="1">
      <c r="A20" s="192"/>
      <c r="B20" s="193"/>
      <c r="C20" s="193"/>
      <c r="D20" s="194"/>
      <c r="E20" s="195"/>
      <c r="F20" s="193"/>
      <c r="G20" s="196" t="s">
        <v>115</v>
      </c>
      <c r="H20" s="28"/>
      <c r="I20" s="32"/>
      <c r="J20" s="197"/>
    </row>
    <row r="21" ht="33.75" customHeight="1">
      <c r="A21" s="198"/>
      <c r="B21" s="28"/>
      <c r="C21" s="28"/>
      <c r="D21" s="32"/>
      <c r="E21" s="199"/>
      <c r="F21" s="28"/>
      <c r="G21" s="196" t="s">
        <v>115</v>
      </c>
      <c r="H21" s="28"/>
      <c r="I21" s="32"/>
      <c r="J21" s="197"/>
    </row>
    <row r="22" ht="33.75" customHeight="1">
      <c r="A22" s="198"/>
      <c r="B22" s="28"/>
      <c r="C22" s="28"/>
      <c r="D22" s="32"/>
      <c r="E22" s="199"/>
      <c r="F22" s="28"/>
      <c r="G22" s="196" t="s">
        <v>115</v>
      </c>
      <c r="H22" s="28"/>
      <c r="I22" s="32"/>
      <c r="J22" s="197"/>
    </row>
    <row r="23" ht="33.75" customHeight="1">
      <c r="A23" s="200" t="s">
        <v>116</v>
      </c>
      <c r="B23" s="48"/>
      <c r="C23" s="48"/>
      <c r="D23" s="45"/>
      <c r="E23" s="201" t="s">
        <v>116</v>
      </c>
      <c r="F23" s="32"/>
      <c r="G23" s="196" t="s">
        <v>115</v>
      </c>
      <c r="H23" s="28"/>
      <c r="I23" s="32"/>
      <c r="J23" s="197"/>
    </row>
    <row r="24" ht="33.75" customHeight="1">
      <c r="A24" s="202" t="s">
        <v>116</v>
      </c>
      <c r="B24" s="28"/>
      <c r="C24" s="28"/>
      <c r="D24" s="32"/>
      <c r="E24" s="201" t="s">
        <v>116</v>
      </c>
      <c r="F24" s="32"/>
      <c r="G24" s="196" t="s">
        <v>115</v>
      </c>
      <c r="H24" s="28"/>
      <c r="I24" s="32"/>
      <c r="J24" s="197"/>
    </row>
    <row r="25" ht="33.75" customHeight="1">
      <c r="A25" s="202" t="s">
        <v>116</v>
      </c>
      <c r="B25" s="28"/>
      <c r="C25" s="28"/>
      <c r="D25" s="32"/>
      <c r="E25" s="201" t="s">
        <v>116</v>
      </c>
      <c r="F25" s="32"/>
      <c r="G25" s="196" t="s">
        <v>115</v>
      </c>
      <c r="H25" s="28"/>
      <c r="I25" s="32"/>
      <c r="J25" s="197"/>
    </row>
    <row r="26" ht="15.75" customHeight="1">
      <c r="A26" s="203"/>
      <c r="B26" s="203"/>
      <c r="C26" s="203"/>
      <c r="D26" s="203"/>
      <c r="E26" s="204"/>
      <c r="F26" s="204"/>
      <c r="G26" s="197"/>
      <c r="H26" s="197"/>
      <c r="I26" s="197"/>
      <c r="J26" s="197"/>
    </row>
    <row r="27" ht="15.75" customHeight="1">
      <c r="A27" s="205" t="s">
        <v>117</v>
      </c>
      <c r="B27" s="165"/>
      <c r="C27" s="165"/>
      <c r="D27" s="165"/>
      <c r="E27" s="165"/>
      <c r="F27" s="206" t="str">
        <f>'Fiche contact'!$C$8:H8&amp;""&amp;'Fiche contact'!C8</f>
        <v/>
      </c>
      <c r="G27" s="207"/>
      <c r="H27" s="207"/>
      <c r="I27" s="207"/>
      <c r="J27" s="207"/>
    </row>
    <row r="28" ht="15.75" customHeight="1">
      <c r="A28" s="208"/>
      <c r="B28" s="165"/>
      <c r="C28" s="165"/>
      <c r="D28" s="165"/>
      <c r="E28" s="165"/>
      <c r="F28" s="165"/>
      <c r="G28" s="207"/>
      <c r="H28" s="207"/>
      <c r="I28" s="207"/>
      <c r="J28" s="207"/>
    </row>
    <row r="29" ht="37.5" customHeight="1">
      <c r="A29" s="209" t="s">
        <v>118</v>
      </c>
      <c r="B29" s="210" t="str">
        <f>'Fiche contact'!$C$7&amp;" "&amp;'Fiche contact'!$C$9&amp; " "&amp;'Fiche contact'!F9</f>
        <v>Mr  </v>
      </c>
      <c r="C29" s="211"/>
      <c r="D29" s="211"/>
      <c r="E29" s="211"/>
      <c r="F29" s="211"/>
      <c r="G29" s="211"/>
      <c r="H29" s="211"/>
      <c r="I29" s="211"/>
      <c r="J29" s="212"/>
    </row>
    <row r="30" ht="18.0" customHeight="1">
      <c r="A30" s="213"/>
      <c r="B30" s="214"/>
      <c r="C30" s="214"/>
      <c r="D30" s="214"/>
      <c r="E30" s="214"/>
      <c r="F30" s="214"/>
      <c r="G30" s="214"/>
      <c r="H30" s="214"/>
      <c r="I30" s="214"/>
      <c r="J30" s="212"/>
    </row>
    <row r="31" ht="37.5" customHeight="1">
      <c r="A31" s="209" t="s">
        <v>119</v>
      </c>
      <c r="B31" s="210" t="str">
        <f>'Fiche contact'!$C$10&amp;" " &amp;'Fiche contact'!$C$11&amp;" "&amp;'Fiche contact'!E11</f>
        <v>  </v>
      </c>
      <c r="C31" s="211"/>
      <c r="D31" s="211"/>
      <c r="E31" s="211"/>
      <c r="F31" s="211"/>
      <c r="G31" s="211"/>
      <c r="H31" s="211" t="s">
        <v>120</v>
      </c>
      <c r="I31" s="215" t="str">
        <f>'Fiche contact'!H10</f>
        <v/>
      </c>
      <c r="J31" s="165"/>
    </row>
    <row r="32" ht="17.25" customHeight="1">
      <c r="A32" s="213"/>
      <c r="B32" s="214"/>
      <c r="C32" s="214"/>
      <c r="D32" s="214"/>
      <c r="E32" s="214"/>
      <c r="F32" s="214"/>
      <c r="G32" s="214"/>
      <c r="H32" s="216"/>
      <c r="I32" s="214"/>
      <c r="J32" s="165"/>
      <c r="K32" s="217"/>
      <c r="L32" s="217"/>
      <c r="M32" s="217"/>
      <c r="N32" s="217"/>
      <c r="O32" s="217"/>
      <c r="P32" s="217"/>
      <c r="Q32" s="217"/>
      <c r="R32" s="217"/>
      <c r="S32" s="217"/>
      <c r="T32" s="217"/>
      <c r="U32" s="217"/>
      <c r="V32" s="217"/>
      <c r="W32" s="217"/>
      <c r="X32" s="217"/>
      <c r="Y32" s="217"/>
      <c r="Z32" s="217"/>
    </row>
    <row r="33" ht="37.5" customHeight="1">
      <c r="A33" s="209" t="s">
        <v>121</v>
      </c>
      <c r="B33" s="218" t="str">
        <f>'Fiche contact'!$C$13&amp;""&amp;'Fiche contact'!F13</f>
        <v/>
      </c>
      <c r="C33" s="219"/>
      <c r="D33" s="219"/>
      <c r="E33" s="219"/>
      <c r="F33" s="220" t="s">
        <v>122</v>
      </c>
      <c r="G33" s="221" t="str">
        <f>'Fiche contact'!C14</f>
        <v/>
      </c>
      <c r="H33" s="181"/>
      <c r="I33" s="182"/>
      <c r="J33" s="165"/>
    </row>
    <row r="34" ht="9.0" customHeight="1">
      <c r="A34" s="222"/>
      <c r="B34" s="165"/>
      <c r="C34" s="165"/>
      <c r="D34" s="165"/>
      <c r="E34" s="165"/>
      <c r="F34" s="165"/>
      <c r="G34" s="165"/>
      <c r="H34" s="165"/>
      <c r="I34" s="165"/>
      <c r="J34" s="165"/>
    </row>
    <row r="35" ht="45.0" customHeight="1">
      <c r="A35" s="223" t="s">
        <v>123</v>
      </c>
      <c r="I35" s="163"/>
      <c r="J35" s="166"/>
      <c r="K35" s="163"/>
      <c r="L35" s="163"/>
      <c r="M35" s="163"/>
      <c r="N35" s="163"/>
      <c r="O35" s="163"/>
      <c r="P35" s="163"/>
      <c r="Q35" s="163"/>
      <c r="R35" s="163"/>
      <c r="S35" s="163"/>
      <c r="T35" s="163"/>
      <c r="U35" s="163"/>
      <c r="V35" s="163"/>
      <c r="W35" s="163"/>
      <c r="X35" s="163"/>
      <c r="Y35" s="163"/>
      <c r="Z35" s="163"/>
    </row>
    <row r="36" ht="17.25" customHeight="1">
      <c r="A36" s="224"/>
      <c r="B36" s="225"/>
      <c r="C36" s="225"/>
      <c r="D36" s="225"/>
      <c r="E36" s="225"/>
      <c r="F36" s="225"/>
      <c r="G36" s="225"/>
      <c r="H36" s="225"/>
      <c r="I36" s="225"/>
      <c r="J36" s="166"/>
      <c r="K36" s="163"/>
      <c r="L36" s="163"/>
      <c r="M36" s="163"/>
      <c r="N36" s="163"/>
      <c r="O36" s="163"/>
      <c r="P36" s="163"/>
      <c r="Q36" s="163"/>
      <c r="R36" s="163"/>
      <c r="S36" s="163"/>
      <c r="T36" s="163"/>
      <c r="U36" s="163"/>
      <c r="V36" s="163"/>
      <c r="W36" s="163"/>
      <c r="X36" s="163"/>
      <c r="Y36" s="163"/>
      <c r="Z36" s="163"/>
    </row>
    <row r="37" ht="25.5" customHeight="1">
      <c r="A37" s="226" t="s">
        <v>124</v>
      </c>
      <c r="H37" s="227"/>
      <c r="I37" s="174"/>
      <c r="J37" s="168"/>
      <c r="K37" s="172"/>
      <c r="L37" s="172"/>
      <c r="M37" s="172"/>
      <c r="N37" s="172"/>
      <c r="O37" s="172"/>
      <c r="P37" s="172"/>
      <c r="Q37" s="172"/>
      <c r="R37" s="172"/>
      <c r="S37" s="172"/>
      <c r="T37" s="172"/>
      <c r="U37" s="172"/>
      <c r="V37" s="172"/>
      <c r="W37" s="172"/>
      <c r="X37" s="172"/>
      <c r="Y37" s="172"/>
      <c r="Z37" s="172"/>
    </row>
    <row r="38" ht="18.0" customHeight="1">
      <c r="A38" s="228" t="s">
        <v>125</v>
      </c>
      <c r="H38" s="227"/>
      <c r="I38" s="174"/>
      <c r="J38" s="168"/>
      <c r="K38" s="172"/>
      <c r="L38" s="172"/>
      <c r="M38" s="172"/>
      <c r="N38" s="172"/>
      <c r="O38" s="172"/>
      <c r="P38" s="172"/>
      <c r="Q38" s="172"/>
      <c r="R38" s="172"/>
      <c r="S38" s="172"/>
      <c r="T38" s="172"/>
      <c r="U38" s="172"/>
      <c r="V38" s="172"/>
      <c r="W38" s="172"/>
      <c r="X38" s="172"/>
      <c r="Y38" s="172"/>
      <c r="Z38" s="172"/>
    </row>
    <row r="39" ht="18.0" customHeight="1">
      <c r="A39" s="228" t="s">
        <v>126</v>
      </c>
      <c r="H39" s="227"/>
      <c r="I39" s="174"/>
      <c r="J39" s="168"/>
      <c r="K39" s="172"/>
      <c r="L39" s="172"/>
      <c r="M39" s="172"/>
      <c r="N39" s="172"/>
      <c r="O39" s="172"/>
      <c r="P39" s="172"/>
      <c r="Q39" s="172"/>
      <c r="R39" s="172"/>
      <c r="S39" s="172"/>
      <c r="T39" s="172"/>
      <c r="U39" s="172"/>
      <c r="V39" s="172"/>
      <c r="W39" s="172"/>
      <c r="X39" s="172"/>
      <c r="Y39" s="172"/>
      <c r="Z39" s="172"/>
    </row>
    <row r="40" ht="18.0" customHeight="1">
      <c r="A40" s="228" t="s">
        <v>127</v>
      </c>
      <c r="K40" s="228"/>
      <c r="L40" s="228"/>
      <c r="M40" s="228"/>
      <c r="N40" s="228"/>
      <c r="O40" s="228"/>
      <c r="P40" s="228"/>
      <c r="Q40" s="228"/>
      <c r="R40" s="228"/>
      <c r="S40" s="228"/>
      <c r="T40" s="228"/>
      <c r="U40" s="228"/>
      <c r="V40" s="228"/>
      <c r="W40" s="228"/>
      <c r="X40" s="228"/>
      <c r="Y40" s="228"/>
      <c r="Z40" s="228"/>
    </row>
    <row r="41" ht="18.0" customHeight="1">
      <c r="A41" s="228" t="s">
        <v>128</v>
      </c>
      <c r="H41" s="174"/>
      <c r="I41" s="174"/>
      <c r="J41" s="168"/>
      <c r="K41" s="172"/>
      <c r="L41" s="172"/>
      <c r="M41" s="172"/>
      <c r="N41" s="172"/>
      <c r="O41" s="172"/>
      <c r="P41" s="172"/>
      <c r="Q41" s="172"/>
      <c r="R41" s="172"/>
      <c r="S41" s="172"/>
      <c r="T41" s="172"/>
      <c r="U41" s="172"/>
      <c r="V41" s="172"/>
      <c r="W41" s="172"/>
      <c r="X41" s="172"/>
      <c r="Y41" s="172"/>
      <c r="Z41" s="172"/>
    </row>
    <row r="42" ht="15.75" customHeight="1">
      <c r="B42" s="229"/>
      <c r="C42" s="229"/>
      <c r="D42" s="229"/>
      <c r="E42" s="229"/>
      <c r="F42" s="229"/>
      <c r="J42" s="165"/>
    </row>
    <row r="43" ht="91.5" customHeight="1">
      <c r="A43" s="230" t="s">
        <v>129</v>
      </c>
      <c r="G43" s="231" t="s">
        <v>130</v>
      </c>
      <c r="H43" s="65"/>
      <c r="J43" s="232"/>
    </row>
    <row r="44" ht="105.0" customHeight="1">
      <c r="B44" s="229"/>
      <c r="C44" s="229"/>
      <c r="D44" s="229"/>
      <c r="E44" s="229"/>
      <c r="F44" s="229"/>
      <c r="G44" s="233"/>
      <c r="H44" s="45"/>
      <c r="J44" s="234"/>
    </row>
    <row r="45" ht="25.5" customHeight="1">
      <c r="A45" s="235" t="s">
        <v>131</v>
      </c>
      <c r="B45" s="236" t="str">
        <f>'Liens à compléter'!B7</f>
        <v/>
      </c>
      <c r="C45" s="181"/>
      <c r="D45" s="182"/>
      <c r="G45" s="186"/>
      <c r="H45" s="73"/>
      <c r="J45" s="158"/>
    </row>
    <row r="46" ht="15.0" customHeight="1">
      <c r="C46" s="158"/>
      <c r="J46" s="158"/>
    </row>
    <row r="47" ht="29.25" customHeight="1">
      <c r="C47" s="158"/>
      <c r="G47" s="237" t="s">
        <v>132</v>
      </c>
      <c r="H47" s="32"/>
      <c r="I47" s="217"/>
      <c r="J47" s="158"/>
    </row>
    <row r="48" ht="33.0" customHeight="1">
      <c r="A48" s="158"/>
      <c r="B48" s="158"/>
      <c r="C48" s="158"/>
      <c r="G48" s="142"/>
      <c r="H48" s="45"/>
      <c r="I48" s="217"/>
      <c r="J48" s="158"/>
    </row>
    <row r="49" ht="10.5" hidden="1" customHeight="1">
      <c r="A49" s="238"/>
      <c r="B49" s="158"/>
      <c r="C49" s="158"/>
      <c r="D49" s="239"/>
      <c r="E49" s="158"/>
      <c r="F49" s="158"/>
      <c r="G49" s="240"/>
      <c r="H49" s="241"/>
      <c r="I49" s="242"/>
      <c r="J49" s="158"/>
    </row>
    <row r="50" ht="69.75" customHeight="1">
      <c r="A50" s="158"/>
      <c r="B50" s="158"/>
      <c r="C50" s="158"/>
      <c r="D50" s="158"/>
      <c r="E50" s="158"/>
      <c r="F50" s="158"/>
      <c r="G50" s="186"/>
      <c r="H50" s="73"/>
      <c r="I50" s="158"/>
      <c r="J50" s="158"/>
    </row>
    <row r="51" ht="57.0" customHeight="1">
      <c r="A51" s="243" t="s">
        <v>133</v>
      </c>
      <c r="I51" s="244"/>
      <c r="J51" s="158"/>
    </row>
    <row r="52" ht="65.25" customHeight="1">
      <c r="A52" s="243" t="s">
        <v>134</v>
      </c>
      <c r="I52" s="244"/>
      <c r="J52" s="158"/>
    </row>
    <row r="53" ht="45.75" customHeight="1">
      <c r="A53" s="245"/>
      <c r="B53" s="245"/>
      <c r="C53" s="245"/>
      <c r="D53" s="245"/>
      <c r="E53" s="245"/>
      <c r="F53" s="245"/>
      <c r="G53" s="158"/>
      <c r="H53" s="158"/>
      <c r="I53" s="158"/>
      <c r="J53" s="245"/>
    </row>
    <row r="54" ht="15.75" customHeight="1"/>
    <row r="55" ht="15.75" customHeight="1"/>
    <row r="56" ht="15.75" customHeight="1"/>
    <row r="57" ht="15.75" customHeight="1"/>
    <row r="58" ht="40.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G20:I20"/>
    <mergeCell ref="G21:I21"/>
    <mergeCell ref="G22:I22"/>
    <mergeCell ref="G33:I33"/>
    <mergeCell ref="A7:I7"/>
    <mergeCell ref="A8:I8"/>
    <mergeCell ref="A14:D14"/>
    <mergeCell ref="B16:E16"/>
    <mergeCell ref="E18:F18"/>
    <mergeCell ref="G18:I19"/>
    <mergeCell ref="E19:F19"/>
    <mergeCell ref="A18:D19"/>
    <mergeCell ref="A20:D20"/>
    <mergeCell ref="E20:F20"/>
    <mergeCell ref="A21:D21"/>
    <mergeCell ref="E21:F21"/>
    <mergeCell ref="A22:D22"/>
    <mergeCell ref="E22:F22"/>
    <mergeCell ref="E25:F25"/>
    <mergeCell ref="G25:I25"/>
    <mergeCell ref="A23:D23"/>
    <mergeCell ref="E23:F23"/>
    <mergeCell ref="G23:I23"/>
    <mergeCell ref="A24:D24"/>
    <mergeCell ref="E24:F24"/>
    <mergeCell ref="G24:I24"/>
    <mergeCell ref="A25:D25"/>
    <mergeCell ref="G43:H43"/>
    <mergeCell ref="G44:H45"/>
    <mergeCell ref="B45:D45"/>
    <mergeCell ref="G47:H47"/>
    <mergeCell ref="G48:H50"/>
    <mergeCell ref="A51:H51"/>
    <mergeCell ref="A52:H52"/>
    <mergeCell ref="A35:H35"/>
    <mergeCell ref="A37:G37"/>
    <mergeCell ref="A38:G38"/>
    <mergeCell ref="A39:G39"/>
    <mergeCell ref="A40:J40"/>
    <mergeCell ref="A41:G41"/>
    <mergeCell ref="A43:F43"/>
  </mergeCells>
  <dataValidations>
    <dataValidation type="list" allowBlank="1" showErrorMessage="1" sqref="E22">
      <formula1>"BAR EN 103,BAT EN 103"</formula1>
    </dataValidation>
    <dataValidation type="list" allowBlank="1" showErrorMessage="1" sqref="A20">
      <formula1>"ISOLATION DES COMBLES,ISOLATION DES RAMPANTS,ISOLATION DES RAVALS,ISOLATION DES COMBLES/RAMPANTS/RAVALS,ISOLATION DES COMBLES/RAMPANTS,ISOLATION DES COMBLES/RAVALS,ISOLATION DES RAMPANTS/RAVALS"</formula1>
    </dataValidation>
    <dataValidation type="list" allowBlank="1" showErrorMessage="1" sqref="E21">
      <formula1>"BAR EN 102,BAT EN 102"</formula1>
    </dataValidation>
    <dataValidation type="list" allowBlank="1" showErrorMessage="1" sqref="A22">
      <formula1>"Plancher bas au dessus d'un sous sol,Plancher bas au dessus d'un vide sanitaire,Plancher bas au dessus d'un volume non chauffé"</formula1>
    </dataValidation>
    <dataValidation type="list" allowBlank="1" showErrorMessage="1" sqref="A21">
      <formula1>"En doublage sur mur en façade ou en pignon"</formula1>
    </dataValidation>
    <dataValidation type="list" allowBlank="1" showErrorMessage="1" sqref="E20">
      <formula1>"BAR EN 101,BAT EN 101"</formula1>
    </dataValidation>
  </dataValidations>
  <printOptions horizontalCentered="1" verticalCentered="1"/>
  <pageMargins bottom="0.75" footer="0.0" header="0.0" left="0.6708333333333333"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4.86"/>
    <col customWidth="1" min="4" max="26" width="10.71"/>
  </cols>
  <sheetData>
    <row r="1">
      <c r="D1" s="156" t="str">
        <f>'Cadre contribution'!$B$29</f>
        <v>Mr  </v>
      </c>
    </row>
    <row r="3">
      <c r="H3" s="246"/>
    </row>
    <row r="4">
      <c r="C4" s="217"/>
      <c r="D4" s="217"/>
      <c r="E4" s="217"/>
      <c r="F4" s="217"/>
      <c r="G4" s="217"/>
      <c r="H4" s="217"/>
    </row>
    <row r="5">
      <c r="C5" s="217"/>
      <c r="D5" s="217"/>
      <c r="E5" s="217"/>
      <c r="F5" s="217"/>
      <c r="G5" s="217"/>
      <c r="H5" s="217"/>
    </row>
    <row r="6">
      <c r="C6" s="246"/>
      <c r="D6" s="217"/>
      <c r="E6" s="217"/>
      <c r="F6" s="217"/>
      <c r="G6" s="217"/>
      <c r="H6" s="217"/>
    </row>
    <row r="7">
      <c r="C7" s="217"/>
      <c r="D7" s="217"/>
      <c r="E7" s="217"/>
      <c r="F7" s="217"/>
      <c r="G7" s="217"/>
      <c r="H7" s="217"/>
    </row>
    <row r="8">
      <c r="C8" s="217"/>
      <c r="D8" s="217"/>
      <c r="E8" s="217"/>
      <c r="F8" s="217"/>
      <c r="G8" s="217"/>
      <c r="H8" s="217"/>
    </row>
    <row r="9">
      <c r="C9" s="217"/>
      <c r="D9" s="217"/>
      <c r="E9" s="217"/>
      <c r="F9" s="217"/>
      <c r="G9" s="217"/>
      <c r="H9" s="217"/>
    </row>
    <row r="10">
      <c r="B10" s="246"/>
      <c r="C10" s="217"/>
      <c r="D10" s="217"/>
      <c r="E10" s="217"/>
      <c r="F10" s="217"/>
      <c r="G10" s="217"/>
      <c r="H10" s="217"/>
    </row>
    <row r="11">
      <c r="C11" s="217"/>
      <c r="D11" s="217"/>
      <c r="E11" s="217"/>
      <c r="F11" s="217"/>
      <c r="G11" s="217"/>
      <c r="H11" s="217"/>
    </row>
    <row r="12">
      <c r="C12" s="217"/>
      <c r="D12" s="217"/>
      <c r="E12" s="217"/>
      <c r="F12" s="217"/>
      <c r="G12" s="217"/>
      <c r="H12" s="217"/>
    </row>
    <row r="13">
      <c r="C13" s="217"/>
      <c r="D13" s="217"/>
      <c r="F13" s="217"/>
      <c r="G13" s="217"/>
      <c r="H13" s="217"/>
    </row>
    <row r="14">
      <c r="C14" s="217"/>
      <c r="D14" s="217"/>
      <c r="E14" s="217"/>
      <c r="F14" s="217"/>
      <c r="G14" s="217"/>
      <c r="H14" s="217"/>
    </row>
    <row r="15">
      <c r="B15" s="246"/>
      <c r="C15" s="217"/>
      <c r="D15" s="217"/>
      <c r="E15" s="217"/>
      <c r="F15" s="217"/>
      <c r="G15" s="217"/>
      <c r="H15" s="217"/>
    </row>
    <row r="16">
      <c r="C16" s="217"/>
      <c r="D16" s="217"/>
      <c r="E16" s="217"/>
      <c r="F16" s="217"/>
      <c r="G16" s="217"/>
      <c r="H16" s="217"/>
    </row>
    <row r="17">
      <c r="C17" s="246"/>
      <c r="D17" s="217"/>
      <c r="E17" s="217"/>
      <c r="F17" s="217"/>
      <c r="G17" s="217"/>
      <c r="H17" s="217"/>
    </row>
    <row r="18">
      <c r="C18" s="217"/>
      <c r="D18" s="217"/>
      <c r="E18" s="217"/>
      <c r="F18" s="217"/>
      <c r="G18" s="217"/>
      <c r="H18" s="217"/>
    </row>
    <row r="19">
      <c r="C19" s="217"/>
      <c r="D19" s="217"/>
      <c r="E19" s="246"/>
      <c r="F19" s="217"/>
      <c r="G19" s="217"/>
      <c r="H19" s="217"/>
    </row>
    <row r="20">
      <c r="C20" s="217"/>
      <c r="D20" s="217"/>
      <c r="E20" s="217"/>
      <c r="F20" s="217"/>
      <c r="G20" s="217"/>
      <c r="H20" s="217"/>
    </row>
    <row r="21" ht="15.75" customHeight="1">
      <c r="C21" s="217"/>
      <c r="D21" s="217"/>
      <c r="E21" s="217"/>
      <c r="F21" s="217"/>
      <c r="G21" s="217"/>
      <c r="H21" s="217"/>
      <c r="I21" s="246"/>
    </row>
    <row r="22" ht="15.75" customHeight="1">
      <c r="C22" s="217"/>
      <c r="D22" s="217"/>
      <c r="E22" s="217"/>
      <c r="F22" s="217"/>
      <c r="G22" s="217"/>
      <c r="H22" s="217"/>
    </row>
    <row r="23" ht="15.75" customHeight="1">
      <c r="C23" s="217"/>
      <c r="D23" s="217"/>
      <c r="E23" s="217"/>
      <c r="F23" s="217"/>
      <c r="G23" s="217"/>
      <c r="H23" s="217"/>
    </row>
    <row r="24" ht="15.75" customHeight="1">
      <c r="C24" s="246"/>
      <c r="D24" s="217"/>
      <c r="E24" s="217"/>
      <c r="F24" s="217"/>
      <c r="G24" s="217"/>
      <c r="H24" s="217"/>
    </row>
    <row r="25" ht="15.75" customHeight="1">
      <c r="C25" s="217"/>
      <c r="D25" s="217"/>
      <c r="E25" s="217"/>
      <c r="F25" s="217"/>
      <c r="G25" s="217"/>
      <c r="H25" s="217"/>
    </row>
    <row r="26" ht="15.75" customHeight="1">
      <c r="C26" s="217"/>
      <c r="D26" s="217"/>
      <c r="E26" s="246"/>
      <c r="F26" s="217"/>
      <c r="G26" s="217"/>
      <c r="H26" s="217"/>
    </row>
    <row r="27" ht="15.75" customHeight="1">
      <c r="C27" s="217"/>
      <c r="D27" s="217"/>
      <c r="E27" s="217"/>
      <c r="F27" s="217"/>
      <c r="G27" s="217"/>
      <c r="H27" s="217"/>
    </row>
    <row r="28" ht="15.75" customHeight="1">
      <c r="C28" s="217"/>
      <c r="D28" s="217"/>
      <c r="E28" s="217"/>
      <c r="F28" s="217"/>
      <c r="G28" s="217"/>
      <c r="H28" s="217"/>
    </row>
    <row r="29" ht="15.75" customHeight="1">
      <c r="D29" s="217"/>
      <c r="E29" s="217"/>
      <c r="F29" s="217"/>
      <c r="G29" s="217"/>
      <c r="H29" s="217"/>
    </row>
    <row r="30" ht="15.75" customHeight="1">
      <c r="E30" s="217"/>
      <c r="F30" s="217"/>
      <c r="G30" s="217"/>
      <c r="H30" s="217"/>
    </row>
    <row r="31" ht="15.75" customHeight="1"/>
    <row r="32" ht="15.75" customHeight="1"/>
    <row r="33" ht="15.75" customHeight="1"/>
    <row r="34" ht="15.75" customHeight="1"/>
    <row r="35" ht="15.75" customHeight="1"/>
    <row r="36" ht="15.75" customHeight="1">
      <c r="H36" s="246"/>
    </row>
    <row r="37" ht="15.75" customHeight="1"/>
    <row r="38" ht="15.75" customHeight="1"/>
    <row r="39" ht="15.75" customHeight="1"/>
    <row r="40" ht="15.75" customHeight="1"/>
    <row r="41" ht="15.75" customHeight="1"/>
    <row r="42" ht="15.75" customHeight="1">
      <c r="H42" s="247" t="s">
        <v>135</v>
      </c>
    </row>
    <row r="43" ht="15.75" customHeight="1"/>
    <row r="44" ht="15.75" customHeight="1"/>
    <row r="45" ht="15.75" customHeight="1"/>
    <row r="46" ht="15.75" customHeight="1"/>
    <row r="47" ht="15.75" customHeight="1">
      <c r="G47" s="246"/>
    </row>
    <row r="48" ht="15.75" customHeight="1"/>
    <row r="49" ht="15.75" customHeight="1"/>
    <row r="50" ht="15.75" customHeight="1"/>
    <row r="51" ht="15.75" customHeight="1"/>
    <row r="52" ht="15.75" customHeight="1">
      <c r="D52" s="217"/>
    </row>
    <row r="53" ht="24.0" customHeight="1">
      <c r="A53" s="248" t="s">
        <v>136</v>
      </c>
      <c r="B53" s="28"/>
      <c r="C53" s="32"/>
      <c r="D53" s="121"/>
      <c r="E53" s="120"/>
      <c r="F53" s="28"/>
      <c r="G53" s="28"/>
      <c r="H53" s="32"/>
    </row>
    <row r="54" ht="24.0" customHeight="1">
      <c r="A54" s="248" t="s">
        <v>137</v>
      </c>
      <c r="B54" s="28"/>
      <c r="C54" s="32"/>
      <c r="D54" s="121"/>
      <c r="E54" s="120"/>
      <c r="F54" s="28"/>
      <c r="G54" s="28"/>
      <c r="H54" s="32"/>
    </row>
    <row r="55" ht="24.0" customHeight="1">
      <c r="A55" s="248" t="s">
        <v>138</v>
      </c>
      <c r="B55" s="28"/>
      <c r="C55" s="32"/>
      <c r="D55" s="121"/>
      <c r="E55" s="120"/>
      <c r="F55" s="28"/>
      <c r="G55" s="28"/>
      <c r="H55" s="32"/>
    </row>
    <row r="56" ht="24.0" customHeight="1">
      <c r="A56" s="248" t="s">
        <v>139</v>
      </c>
      <c r="B56" s="28"/>
      <c r="C56" s="32"/>
      <c r="D56" s="121"/>
      <c r="E56" s="120"/>
      <c r="F56" s="28"/>
      <c r="G56" s="28"/>
      <c r="H56" s="3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E55:H55"/>
    <mergeCell ref="E56:H56"/>
    <mergeCell ref="D1:G1"/>
    <mergeCell ref="A53:C53"/>
    <mergeCell ref="E53:H53"/>
    <mergeCell ref="A54:C54"/>
    <mergeCell ref="E54:H54"/>
    <mergeCell ref="A55:C55"/>
    <mergeCell ref="A56:C56"/>
  </mergeCells>
  <printOptions horizontalCentered="1"/>
  <pageMargins bottom="0.0" footer="0.0" header="0.0" left="0.0" right="0.7086614173228347" top="0.0"/>
  <pageSetup paperSize="9" scale="8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3" width="10.86"/>
    <col customWidth="1" min="4" max="4" width="12.14"/>
    <col customWidth="1" min="5" max="6" width="10.86"/>
    <col customWidth="1" min="7" max="7" width="12.0"/>
    <col customWidth="1" min="8" max="9" width="10.71"/>
    <col customWidth="1" min="10" max="10" width="42.86"/>
    <col customWidth="1" min="11" max="26" width="10.71"/>
  </cols>
  <sheetData>
    <row r="1">
      <c r="A1" s="249" t="s">
        <v>140</v>
      </c>
      <c r="B1" s="55"/>
      <c r="C1" s="55"/>
      <c r="D1" s="55"/>
      <c r="E1" s="55"/>
      <c r="F1" s="55"/>
      <c r="G1" s="55"/>
    </row>
    <row r="2">
      <c r="A2" s="250" t="s">
        <v>141</v>
      </c>
      <c r="B2" s="251" t="str">
        <f>'Fiche contact'!$C$7&amp;""&amp;'Fiche contact'!C9</f>
        <v>Mr</v>
      </c>
      <c r="C2" s="18"/>
      <c r="D2" s="18"/>
      <c r="E2" s="252"/>
      <c r="F2" s="252"/>
      <c r="G2" s="253"/>
    </row>
    <row r="3">
      <c r="A3" s="254"/>
      <c r="B3" s="254"/>
      <c r="C3" s="254"/>
      <c r="D3" s="254"/>
      <c r="E3" s="254"/>
      <c r="F3" s="254"/>
      <c r="G3" s="254"/>
    </row>
    <row r="4">
      <c r="A4" s="216"/>
      <c r="B4" s="255" t="s">
        <v>142</v>
      </c>
      <c r="C4" s="18"/>
      <c r="D4" s="256"/>
      <c r="E4" s="257" t="s">
        <v>143</v>
      </c>
      <c r="F4" s="18"/>
      <c r="G4" s="19"/>
    </row>
    <row r="5">
      <c r="A5" s="258" t="s">
        <v>144</v>
      </c>
      <c r="B5" s="259" t="s">
        <v>145</v>
      </c>
      <c r="C5" s="259" t="s">
        <v>146</v>
      </c>
      <c r="D5" s="260" t="s">
        <v>147</v>
      </c>
      <c r="E5" s="261" t="s">
        <v>145</v>
      </c>
      <c r="F5" s="259" t="s">
        <v>146</v>
      </c>
      <c r="G5" s="262" t="s">
        <v>147</v>
      </c>
    </row>
    <row r="6" ht="19.5" customHeight="1">
      <c r="A6" s="263" t="s">
        <v>148</v>
      </c>
      <c r="B6" s="264"/>
      <c r="C6" s="265"/>
      <c r="D6" s="266"/>
      <c r="E6" s="267"/>
      <c r="F6" s="265"/>
      <c r="G6" s="268"/>
      <c r="K6" s="269"/>
      <c r="L6" s="269"/>
      <c r="M6" s="269"/>
      <c r="N6" s="270"/>
    </row>
    <row r="7" ht="19.5" customHeight="1">
      <c r="A7" s="67" t="s">
        <v>149</v>
      </c>
      <c r="B7" s="271"/>
      <c r="C7" s="121"/>
      <c r="D7" s="272"/>
      <c r="E7" s="273"/>
      <c r="F7" s="121"/>
      <c r="G7" s="274"/>
      <c r="J7" s="275"/>
      <c r="K7" s="269"/>
      <c r="L7" s="269"/>
      <c r="M7" s="269"/>
      <c r="N7" s="204"/>
    </row>
    <row r="8" ht="19.5" customHeight="1">
      <c r="A8" s="67" t="s">
        <v>150</v>
      </c>
      <c r="B8" s="121"/>
      <c r="C8" s="121"/>
      <c r="D8" s="272"/>
      <c r="E8" s="273"/>
      <c r="F8" s="121"/>
      <c r="G8" s="274"/>
      <c r="K8" s="275"/>
      <c r="L8" s="275"/>
      <c r="M8" s="275"/>
      <c r="N8" s="204"/>
    </row>
    <row r="9" ht="19.5" customHeight="1">
      <c r="A9" s="67" t="s">
        <v>151</v>
      </c>
      <c r="B9" s="121"/>
      <c r="C9" s="121"/>
      <c r="D9" s="272"/>
      <c r="E9" s="273"/>
      <c r="F9" s="121"/>
      <c r="G9" s="274"/>
      <c r="K9" s="275"/>
      <c r="L9" s="275"/>
      <c r="M9" s="275"/>
      <c r="N9" s="204"/>
      <c r="O9" s="204"/>
    </row>
    <row r="10" ht="19.5" customHeight="1">
      <c r="A10" s="67" t="s">
        <v>152</v>
      </c>
      <c r="B10" s="121"/>
      <c r="C10" s="121"/>
      <c r="D10" s="272"/>
      <c r="E10" s="273"/>
      <c r="F10" s="121"/>
      <c r="G10" s="274"/>
      <c r="K10" s="275"/>
      <c r="L10" s="275"/>
      <c r="M10" s="275"/>
      <c r="N10" s="204"/>
      <c r="O10" s="204"/>
    </row>
    <row r="11" ht="19.5" customHeight="1">
      <c r="A11" s="67" t="s">
        <v>153</v>
      </c>
      <c r="B11" s="121"/>
      <c r="C11" s="121"/>
      <c r="D11" s="272"/>
      <c r="E11" s="273"/>
      <c r="F11" s="121"/>
      <c r="G11" s="274"/>
    </row>
    <row r="12" ht="19.5" customHeight="1">
      <c r="A12" s="67" t="s">
        <v>154</v>
      </c>
      <c r="B12" s="121"/>
      <c r="C12" s="121"/>
      <c r="D12" s="272"/>
      <c r="E12" s="273"/>
      <c r="F12" s="121"/>
      <c r="G12" s="274"/>
    </row>
    <row r="13" ht="19.5" customHeight="1">
      <c r="A13" s="67" t="s">
        <v>155</v>
      </c>
      <c r="B13" s="121"/>
      <c r="C13" s="121"/>
      <c r="D13" s="272"/>
      <c r="E13" s="273"/>
      <c r="F13" s="121"/>
      <c r="G13" s="274"/>
    </row>
    <row r="14" ht="19.5" customHeight="1">
      <c r="A14" s="67" t="s">
        <v>156</v>
      </c>
      <c r="B14" s="121"/>
      <c r="C14" s="121"/>
      <c r="D14" s="272"/>
      <c r="E14" s="273"/>
      <c r="F14" s="121"/>
      <c r="G14" s="274"/>
      <c r="K14" s="276"/>
    </row>
    <row r="15" ht="19.5" customHeight="1">
      <c r="A15" s="67" t="s">
        <v>157</v>
      </c>
      <c r="B15" s="121"/>
      <c r="C15" s="121"/>
      <c r="D15" s="272"/>
      <c r="E15" s="273"/>
      <c r="F15" s="121"/>
      <c r="G15" s="274"/>
    </row>
    <row r="16" ht="19.5" customHeight="1">
      <c r="A16" s="67" t="s">
        <v>158</v>
      </c>
      <c r="B16" s="121"/>
      <c r="C16" s="121"/>
      <c r="D16" s="272"/>
      <c r="E16" s="273"/>
      <c r="F16" s="121"/>
      <c r="G16" s="274"/>
    </row>
    <row r="17" ht="19.5" customHeight="1">
      <c r="A17" s="67" t="s">
        <v>159</v>
      </c>
      <c r="B17" s="121"/>
      <c r="C17" s="121"/>
      <c r="D17" s="272"/>
      <c r="E17" s="273"/>
      <c r="F17" s="121"/>
      <c r="G17" s="274"/>
    </row>
    <row r="18" ht="19.5" customHeight="1">
      <c r="A18" s="67" t="s">
        <v>160</v>
      </c>
      <c r="B18" s="121"/>
      <c r="C18" s="121"/>
      <c r="D18" s="272"/>
      <c r="E18" s="273"/>
      <c r="F18" s="121"/>
      <c r="G18" s="274"/>
    </row>
    <row r="19" ht="19.5" customHeight="1">
      <c r="A19" s="67" t="s">
        <v>161</v>
      </c>
      <c r="B19" s="121"/>
      <c r="C19" s="121"/>
      <c r="D19" s="272"/>
      <c r="E19" s="273"/>
      <c r="F19" s="121"/>
      <c r="G19" s="274"/>
    </row>
    <row r="20" ht="19.5" customHeight="1">
      <c r="A20" s="67" t="s">
        <v>162</v>
      </c>
      <c r="B20" s="121"/>
      <c r="C20" s="121"/>
      <c r="D20" s="272"/>
      <c r="E20" s="273"/>
      <c r="F20" s="121"/>
      <c r="G20" s="274"/>
    </row>
    <row r="21" ht="19.5" customHeight="1">
      <c r="A21" s="277" t="s">
        <v>163</v>
      </c>
      <c r="B21" s="278"/>
      <c r="C21" s="278"/>
      <c r="D21" s="279"/>
      <c r="E21" s="280"/>
      <c r="F21" s="278"/>
      <c r="G21" s="281"/>
    </row>
    <row r="22" ht="15.75" customHeight="1">
      <c r="A22" s="282" t="s">
        <v>164</v>
      </c>
      <c r="B22" s="283" t="s">
        <v>145</v>
      </c>
      <c r="C22" s="283" t="s">
        <v>84</v>
      </c>
      <c r="D22" s="283" t="s">
        <v>165</v>
      </c>
      <c r="E22" s="283" t="s">
        <v>145</v>
      </c>
      <c r="F22" s="283" t="s">
        <v>84</v>
      </c>
      <c r="G22" s="284" t="s">
        <v>165</v>
      </c>
    </row>
    <row r="23" ht="19.5" customHeight="1">
      <c r="A23" s="263" t="s">
        <v>166</v>
      </c>
      <c r="B23" s="265"/>
      <c r="C23" s="265"/>
      <c r="D23" s="285"/>
      <c r="E23" s="267"/>
      <c r="F23" s="265"/>
      <c r="G23" s="268"/>
    </row>
    <row r="24" ht="19.5" customHeight="1">
      <c r="A24" s="67" t="s">
        <v>167</v>
      </c>
      <c r="B24" s="121"/>
      <c r="C24" s="121"/>
      <c r="D24" s="272"/>
      <c r="E24" s="273"/>
      <c r="F24" s="121"/>
      <c r="G24" s="274"/>
    </row>
    <row r="25" ht="19.5" customHeight="1">
      <c r="A25" s="67" t="s">
        <v>162</v>
      </c>
      <c r="B25" s="121"/>
      <c r="C25" s="121"/>
      <c r="D25" s="272"/>
      <c r="E25" s="273"/>
      <c r="F25" s="121"/>
      <c r="G25" s="274"/>
    </row>
    <row r="26" ht="19.5" customHeight="1">
      <c r="A26" s="141" t="s">
        <v>168</v>
      </c>
      <c r="B26" s="143"/>
      <c r="C26" s="143"/>
      <c r="D26" s="286"/>
      <c r="E26" s="287"/>
      <c r="F26" s="143"/>
      <c r="G26" s="288"/>
    </row>
    <row r="27" ht="15.75" customHeight="1">
      <c r="A27" s="282" t="s">
        <v>169</v>
      </c>
      <c r="B27" s="283" t="s">
        <v>145</v>
      </c>
      <c r="C27" s="283" t="s">
        <v>84</v>
      </c>
      <c r="D27" s="283" t="s">
        <v>170</v>
      </c>
      <c r="E27" s="283" t="s">
        <v>145</v>
      </c>
      <c r="F27" s="283" t="s">
        <v>84</v>
      </c>
      <c r="G27" s="284" t="s">
        <v>170</v>
      </c>
    </row>
    <row r="28" ht="15.75" customHeight="1">
      <c r="A28" s="289" t="s">
        <v>171</v>
      </c>
      <c r="B28" s="265"/>
      <c r="C28" s="265"/>
      <c r="D28" s="266"/>
      <c r="E28" s="267"/>
      <c r="F28" s="265"/>
      <c r="G28" s="268"/>
    </row>
    <row r="29" ht="19.5" customHeight="1">
      <c r="A29" s="67" t="s">
        <v>172</v>
      </c>
      <c r="B29" s="121"/>
      <c r="C29" s="121"/>
      <c r="D29" s="272"/>
      <c r="E29" s="273"/>
      <c r="F29" s="121"/>
      <c r="G29" s="274"/>
    </row>
    <row r="30" ht="15.75" customHeight="1">
      <c r="A30" s="290" t="s">
        <v>173</v>
      </c>
      <c r="B30" s="121"/>
      <c r="C30" s="121"/>
      <c r="D30" s="291"/>
      <c r="E30" s="273"/>
      <c r="F30" s="121"/>
      <c r="G30" s="274"/>
    </row>
    <row r="31" ht="19.5" customHeight="1">
      <c r="A31" s="67" t="s">
        <v>174</v>
      </c>
      <c r="B31" s="121"/>
      <c r="C31" s="121"/>
      <c r="D31" s="291"/>
      <c r="E31" s="273"/>
      <c r="F31" s="121"/>
      <c r="G31" s="274"/>
    </row>
    <row r="32" ht="19.5" customHeight="1">
      <c r="A32" s="67" t="s">
        <v>175</v>
      </c>
      <c r="B32" s="121"/>
      <c r="C32" s="121"/>
      <c r="D32" s="292" t="s">
        <v>176</v>
      </c>
      <c r="E32" s="273"/>
      <c r="F32" s="121"/>
      <c r="G32" s="274"/>
    </row>
    <row r="33" ht="19.5" customHeight="1">
      <c r="A33" s="67" t="s">
        <v>177</v>
      </c>
      <c r="B33" s="121"/>
      <c r="C33" s="121"/>
      <c r="D33" s="292" t="s">
        <v>176</v>
      </c>
      <c r="E33" s="273"/>
      <c r="F33" s="121"/>
      <c r="G33" s="274"/>
    </row>
    <row r="34" ht="19.5" customHeight="1">
      <c r="A34" s="67" t="s">
        <v>178</v>
      </c>
      <c r="B34" s="121"/>
      <c r="C34" s="121"/>
      <c r="D34" s="272"/>
      <c r="E34" s="273"/>
      <c r="F34" s="121"/>
      <c r="G34" s="274"/>
    </row>
    <row r="35" ht="19.5" customHeight="1">
      <c r="A35" s="141" t="s">
        <v>162</v>
      </c>
      <c r="B35" s="143"/>
      <c r="C35" s="143"/>
      <c r="D35" s="286"/>
      <c r="E35" s="287"/>
      <c r="F35" s="143"/>
      <c r="G35" s="288"/>
    </row>
    <row r="36" ht="15.75" customHeight="1">
      <c r="A36" s="282" t="s">
        <v>179</v>
      </c>
      <c r="B36" s="283" t="s">
        <v>180</v>
      </c>
      <c r="C36" s="283" t="s">
        <v>84</v>
      </c>
      <c r="D36" s="283" t="s">
        <v>170</v>
      </c>
      <c r="E36" s="283" t="s">
        <v>180</v>
      </c>
      <c r="F36" s="283" t="s">
        <v>84</v>
      </c>
      <c r="G36" s="284" t="s">
        <v>170</v>
      </c>
    </row>
    <row r="37" ht="19.5" customHeight="1">
      <c r="A37" s="265" t="s">
        <v>181</v>
      </c>
      <c r="B37" s="267"/>
      <c r="C37" s="265"/>
      <c r="D37" s="266"/>
      <c r="E37" s="267"/>
      <c r="F37" s="265"/>
      <c r="G37" s="268"/>
    </row>
    <row r="38" ht="19.5" customHeight="1">
      <c r="A38" s="263" t="s">
        <v>182</v>
      </c>
      <c r="B38" s="265"/>
      <c r="C38" s="265"/>
      <c r="D38" s="266"/>
      <c r="E38" s="267"/>
      <c r="F38" s="265"/>
      <c r="G38" s="268"/>
    </row>
    <row r="39" ht="19.5" customHeight="1">
      <c r="A39" s="67" t="s">
        <v>183</v>
      </c>
      <c r="B39" s="121"/>
      <c r="C39" s="121"/>
      <c r="D39" s="272"/>
      <c r="E39" s="273"/>
      <c r="F39" s="121"/>
      <c r="G39" s="274"/>
    </row>
    <row r="40" ht="19.5" customHeight="1">
      <c r="A40" s="67" t="s">
        <v>184</v>
      </c>
      <c r="B40" s="121"/>
      <c r="C40" s="121"/>
      <c r="D40" s="272"/>
      <c r="E40" s="273"/>
      <c r="F40" s="121"/>
      <c r="G40" s="274"/>
    </row>
    <row r="41" ht="19.5" customHeight="1">
      <c r="A41" s="125" t="s">
        <v>185</v>
      </c>
      <c r="B41" s="127"/>
      <c r="C41" s="127"/>
      <c r="D41" s="286"/>
      <c r="E41" s="293"/>
      <c r="F41" s="127"/>
      <c r="G41" s="29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G1"/>
    <mergeCell ref="B2:D2"/>
    <mergeCell ref="B4:D4"/>
    <mergeCell ref="E4:G4"/>
    <mergeCell ref="N6:O6"/>
    <mergeCell ref="N7:O7"/>
    <mergeCell ref="N8:O8"/>
  </mergeCells>
  <printOptions horizontalCentered="1"/>
  <pageMargins bottom="0.7480314960629921" footer="0.0" header="0.0" left="0.7086614173228347" right="0.7086614173228347" top="0.7480314960629921"/>
  <pageSetup paperSize="9" orientation="portrait"/>
  <colBreaks count="1" manualBreakCount="1">
    <brk id="7"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3.0"/>
    <col customWidth="1" min="3" max="4" width="10.71"/>
    <col customWidth="1" min="5" max="5" width="14.29"/>
    <col customWidth="1" min="6" max="6" width="16.71"/>
    <col customWidth="1" min="7" max="7" width="12.57"/>
    <col customWidth="1" min="8" max="10" width="10.71"/>
    <col customWidth="1" min="11" max="11" width="35.43"/>
    <col customWidth="1" min="12" max="26" width="10.71"/>
  </cols>
  <sheetData>
    <row r="1">
      <c r="K1" s="295" t="s">
        <v>186</v>
      </c>
    </row>
    <row r="2">
      <c r="D2" s="296" t="s">
        <v>187</v>
      </c>
    </row>
    <row r="5">
      <c r="K5" s="295" t="s">
        <v>188</v>
      </c>
    </row>
    <row r="6">
      <c r="A6" s="163"/>
      <c r="B6" s="163"/>
      <c r="C6" s="163"/>
      <c r="D6" s="297" t="s">
        <v>189</v>
      </c>
      <c r="E6" s="55"/>
      <c r="F6" s="55"/>
      <c r="G6" s="55"/>
      <c r="H6" s="55"/>
      <c r="I6" s="55"/>
      <c r="J6" s="55"/>
      <c r="K6" s="298" t="s">
        <v>190</v>
      </c>
    </row>
    <row r="7">
      <c r="A7" s="299" t="s">
        <v>191</v>
      </c>
      <c r="B7" s="300"/>
      <c r="C7" s="300"/>
      <c r="D7" s="300"/>
      <c r="E7" s="300"/>
      <c r="F7" s="300"/>
      <c r="G7" s="300"/>
      <c r="H7" s="300"/>
      <c r="I7" s="300"/>
      <c r="J7" s="300"/>
      <c r="K7" s="301"/>
    </row>
    <row r="8">
      <c r="A8" s="302"/>
      <c r="B8" s="163"/>
      <c r="C8" s="163"/>
      <c r="D8" s="163"/>
      <c r="E8" s="163"/>
      <c r="F8" s="163"/>
      <c r="G8" s="163"/>
      <c r="H8" s="163"/>
      <c r="I8" s="163"/>
      <c r="J8" s="163"/>
      <c r="K8" s="303"/>
    </row>
    <row r="9">
      <c r="A9" s="302" t="s">
        <v>192</v>
      </c>
      <c r="B9" s="163"/>
      <c r="C9" s="163"/>
      <c r="D9" s="163"/>
      <c r="E9" s="163"/>
      <c r="F9" s="163"/>
      <c r="G9" s="163"/>
      <c r="H9" s="163"/>
      <c r="I9" s="163"/>
      <c r="J9" s="163"/>
      <c r="K9" s="303"/>
    </row>
    <row r="10">
      <c r="A10" s="302" t="s">
        <v>193</v>
      </c>
      <c r="B10" s="163" t="str">
        <f>'Fiche contact'!C9</f>
        <v/>
      </c>
      <c r="C10" s="163"/>
      <c r="D10" s="163"/>
      <c r="E10" s="163"/>
      <c r="F10" s="163" t="s">
        <v>194</v>
      </c>
      <c r="G10" s="225" t="str">
        <f>'Fiche contact'!F9</f>
        <v/>
      </c>
      <c r="K10" s="303"/>
    </row>
    <row r="11">
      <c r="A11" s="304" t="s">
        <v>195</v>
      </c>
      <c r="B11" s="305" t="str">
        <f>'Fiche contact'!C10</f>
        <v/>
      </c>
      <c r="C11" s="55"/>
      <c r="D11" s="55"/>
      <c r="E11" s="305" t="s">
        <v>196</v>
      </c>
      <c r="F11" s="306" t="str">
        <f>'Fiche contact'!C11</f>
        <v/>
      </c>
      <c r="G11" s="305" t="s">
        <v>197</v>
      </c>
      <c r="H11" s="305" t="str">
        <f>'Fiche contact'!E11</f>
        <v/>
      </c>
      <c r="I11" s="55"/>
      <c r="J11" s="55"/>
      <c r="K11" s="56"/>
    </row>
    <row r="12">
      <c r="A12" s="163"/>
      <c r="B12" s="163"/>
      <c r="C12" s="163"/>
      <c r="D12" s="163"/>
      <c r="E12" s="163"/>
      <c r="F12" s="163"/>
      <c r="G12" s="163"/>
      <c r="H12" s="163"/>
      <c r="I12" s="163"/>
      <c r="J12" s="163"/>
      <c r="K12" s="163"/>
    </row>
    <row r="13">
      <c r="A13" s="299" t="s">
        <v>198</v>
      </c>
      <c r="B13" s="300"/>
      <c r="C13" s="300"/>
      <c r="D13" s="300"/>
      <c r="E13" s="300"/>
      <c r="F13" s="300"/>
      <c r="G13" s="300"/>
      <c r="H13" s="300"/>
      <c r="I13" s="300"/>
      <c r="J13" s="300"/>
      <c r="K13" s="301"/>
    </row>
    <row r="14">
      <c r="A14" s="302" t="s">
        <v>199</v>
      </c>
      <c r="B14" s="163"/>
      <c r="C14" s="163"/>
      <c r="D14" s="163"/>
      <c r="E14" s="163"/>
      <c r="F14" s="163"/>
      <c r="G14" s="163"/>
      <c r="H14" s="163"/>
      <c r="I14" s="163"/>
      <c r="J14" s="163"/>
      <c r="K14" s="303"/>
    </row>
    <row r="15">
      <c r="A15" s="302" t="s">
        <v>200</v>
      </c>
      <c r="B15" s="163"/>
      <c r="C15" s="163"/>
      <c r="D15" s="163"/>
      <c r="E15" s="163"/>
      <c r="F15" s="163"/>
      <c r="G15" s="163"/>
      <c r="H15" s="163"/>
      <c r="I15" s="163"/>
      <c r="J15" s="163"/>
      <c r="K15" s="303"/>
    </row>
    <row r="16">
      <c r="A16" s="307" t="s">
        <v>201</v>
      </c>
      <c r="B16" s="308"/>
      <c r="C16" s="308"/>
      <c r="D16" s="308" t="s">
        <v>202</v>
      </c>
      <c r="E16" s="308"/>
      <c r="F16" s="308" t="s">
        <v>203</v>
      </c>
      <c r="G16" s="308"/>
      <c r="H16" s="308"/>
      <c r="I16" s="308"/>
      <c r="J16" s="163"/>
      <c r="K16" s="303"/>
    </row>
    <row r="17">
      <c r="A17" s="307" t="s">
        <v>204</v>
      </c>
      <c r="B17" s="308"/>
      <c r="C17" s="308"/>
      <c r="D17" s="308"/>
      <c r="E17" s="308"/>
      <c r="F17" s="308"/>
      <c r="G17" s="308"/>
      <c r="H17" s="308"/>
      <c r="I17" s="308"/>
      <c r="J17" s="163"/>
      <c r="K17" s="303"/>
    </row>
    <row r="18">
      <c r="A18" s="307" t="s">
        <v>205</v>
      </c>
      <c r="B18" s="308"/>
      <c r="C18" s="308"/>
      <c r="D18" s="308"/>
      <c r="E18" s="308"/>
      <c r="F18" s="308"/>
      <c r="G18" s="308"/>
      <c r="H18" s="308"/>
      <c r="I18" s="308"/>
      <c r="J18" s="163"/>
      <c r="K18" s="303"/>
    </row>
    <row r="19">
      <c r="A19" s="307" t="s">
        <v>206</v>
      </c>
      <c r="B19" s="308"/>
      <c r="C19" s="308"/>
      <c r="D19" s="308"/>
      <c r="E19" s="308"/>
      <c r="F19" s="308"/>
      <c r="G19" s="308"/>
      <c r="H19" s="308"/>
      <c r="I19" s="308"/>
      <c r="J19" s="163"/>
      <c r="K19" s="303"/>
    </row>
    <row r="20">
      <c r="A20" s="307" t="s">
        <v>207</v>
      </c>
      <c r="B20" s="308"/>
      <c r="C20" s="308"/>
      <c r="D20" s="308"/>
      <c r="E20" s="308"/>
      <c r="F20" s="308"/>
      <c r="G20" s="308"/>
      <c r="H20" s="308"/>
      <c r="I20" s="308"/>
      <c r="J20" s="163"/>
      <c r="K20" s="303"/>
    </row>
    <row r="21" ht="15.75" customHeight="1">
      <c r="A21" s="307" t="s">
        <v>208</v>
      </c>
      <c r="B21" s="308"/>
      <c r="C21" s="308"/>
      <c r="D21" s="308"/>
      <c r="E21" s="308"/>
      <c r="F21" s="308"/>
      <c r="G21" s="308"/>
      <c r="H21" s="308"/>
      <c r="I21" s="308"/>
      <c r="J21" s="163"/>
      <c r="K21" s="303"/>
    </row>
    <row r="22" ht="15.75" customHeight="1">
      <c r="A22" s="307" t="s">
        <v>209</v>
      </c>
      <c r="B22" s="308"/>
      <c r="C22" s="308"/>
      <c r="D22" s="308"/>
      <c r="E22" s="308"/>
      <c r="F22" s="308"/>
      <c r="G22" s="308"/>
      <c r="H22" s="308"/>
      <c r="I22" s="308"/>
      <c r="J22" s="163"/>
      <c r="K22" s="303"/>
    </row>
    <row r="23" ht="15.75" customHeight="1">
      <c r="A23" s="307" t="s">
        <v>210</v>
      </c>
      <c r="B23" s="308"/>
      <c r="C23" s="308"/>
      <c r="D23" s="308"/>
      <c r="E23" s="308"/>
      <c r="F23" s="308"/>
      <c r="G23" s="308"/>
      <c r="H23" s="308"/>
      <c r="I23" s="308"/>
      <c r="J23" s="163"/>
      <c r="K23" s="303"/>
    </row>
    <row r="24" ht="15.75" customHeight="1">
      <c r="A24" s="307" t="s">
        <v>211</v>
      </c>
      <c r="B24" s="309" t="str">
        <f>'Fiche contact'!C12</f>
        <v/>
      </c>
      <c r="K24" s="96"/>
    </row>
    <row r="25" ht="15.75" customHeight="1">
      <c r="A25" s="310" t="s">
        <v>212</v>
      </c>
      <c r="B25" s="311"/>
      <c r="C25" s="312"/>
      <c r="D25" s="312"/>
      <c r="E25" s="312"/>
      <c r="F25" s="312"/>
      <c r="G25" s="312"/>
      <c r="H25" s="312"/>
      <c r="I25" s="312"/>
      <c r="J25" s="305"/>
      <c r="K25" s="313"/>
    </row>
    <row r="26" ht="15.75" customHeight="1">
      <c r="A26" s="163"/>
      <c r="B26" s="163"/>
      <c r="C26" s="163"/>
      <c r="D26" s="163"/>
      <c r="E26" s="163"/>
      <c r="F26" s="163"/>
      <c r="G26" s="163"/>
      <c r="H26" s="163"/>
      <c r="I26" s="163"/>
      <c r="J26" s="163"/>
      <c r="K26" s="163"/>
    </row>
    <row r="27" ht="15.75" customHeight="1">
      <c r="A27" s="299" t="s">
        <v>213</v>
      </c>
      <c r="B27" s="300"/>
      <c r="C27" s="300"/>
      <c r="D27" s="300"/>
      <c r="E27" s="300"/>
      <c r="F27" s="300"/>
      <c r="G27" s="300"/>
      <c r="H27" s="300"/>
      <c r="I27" s="300"/>
      <c r="J27" s="300"/>
      <c r="K27" s="301"/>
    </row>
    <row r="28" ht="15.75" customHeight="1">
      <c r="A28" s="302" t="s">
        <v>214</v>
      </c>
      <c r="B28" s="163"/>
      <c r="C28" s="163"/>
      <c r="D28" s="163"/>
      <c r="E28" s="163"/>
      <c r="F28" s="163"/>
      <c r="G28" s="163"/>
      <c r="H28" s="163"/>
      <c r="I28" s="163"/>
      <c r="J28" s="163"/>
      <c r="K28" s="303"/>
    </row>
    <row r="29" ht="15.75" customHeight="1">
      <c r="A29" s="302" t="s">
        <v>215</v>
      </c>
      <c r="B29" s="163"/>
      <c r="C29" s="163"/>
      <c r="D29" s="163"/>
      <c r="E29" s="163"/>
      <c r="F29" s="163"/>
      <c r="G29" s="163"/>
      <c r="H29" s="163"/>
      <c r="I29" s="163"/>
      <c r="J29" s="163"/>
      <c r="K29" s="303"/>
    </row>
    <row r="30" ht="15.75" customHeight="1">
      <c r="A30" s="302" t="s">
        <v>216</v>
      </c>
      <c r="B30" s="163"/>
      <c r="C30" s="163"/>
      <c r="D30" s="163"/>
      <c r="E30" s="163"/>
      <c r="F30" s="163"/>
      <c r="G30" s="163"/>
      <c r="H30" s="163"/>
      <c r="I30" s="163"/>
      <c r="J30" s="163"/>
      <c r="K30" s="303"/>
    </row>
    <row r="31" ht="15.75" customHeight="1">
      <c r="A31" s="302" t="s">
        <v>217</v>
      </c>
      <c r="B31" s="163"/>
      <c r="C31" s="163"/>
      <c r="D31" s="163"/>
      <c r="E31" s="163"/>
      <c r="F31" s="163"/>
      <c r="G31" s="163"/>
      <c r="H31" s="163"/>
      <c r="I31" s="163"/>
      <c r="J31" s="163"/>
      <c r="K31" s="303"/>
    </row>
    <row r="32" ht="15.75" customHeight="1">
      <c r="A32" s="302" t="s">
        <v>218</v>
      </c>
      <c r="B32" s="163"/>
      <c r="C32" s="163"/>
      <c r="D32" s="163"/>
      <c r="E32" s="163"/>
      <c r="F32" s="163"/>
      <c r="G32" s="163"/>
      <c r="H32" s="163"/>
      <c r="I32" s="163"/>
      <c r="J32" s="163"/>
      <c r="K32" s="303"/>
    </row>
    <row r="33" ht="15.75" customHeight="1">
      <c r="A33" s="314" t="s">
        <v>219</v>
      </c>
      <c r="B33" s="315"/>
      <c r="C33" s="315"/>
      <c r="D33" s="315"/>
      <c r="E33" s="315"/>
      <c r="F33" s="315"/>
      <c r="G33" s="315"/>
      <c r="H33" s="315"/>
      <c r="I33" s="315"/>
      <c r="J33" s="315"/>
      <c r="K33" s="303"/>
    </row>
    <row r="34" ht="15.75" customHeight="1">
      <c r="A34" s="314" t="s">
        <v>220</v>
      </c>
      <c r="B34" s="315"/>
      <c r="C34" s="315"/>
      <c r="D34" s="315"/>
      <c r="E34" s="315"/>
      <c r="F34" s="315"/>
      <c r="G34" s="315"/>
      <c r="H34" s="315"/>
      <c r="I34" s="315"/>
      <c r="J34" s="315"/>
      <c r="K34" s="303"/>
    </row>
    <row r="35" ht="15.75" customHeight="1">
      <c r="A35" s="314" t="s">
        <v>221</v>
      </c>
      <c r="B35" s="163"/>
      <c r="C35" s="163"/>
      <c r="D35" s="163"/>
      <c r="E35" s="163"/>
      <c r="F35" s="163"/>
      <c r="G35" s="163"/>
      <c r="H35" s="163"/>
      <c r="I35" s="163"/>
      <c r="J35" s="163"/>
      <c r="K35" s="303"/>
    </row>
    <row r="36" ht="15.75" customHeight="1">
      <c r="A36" s="302" t="s">
        <v>222</v>
      </c>
      <c r="B36" s="163"/>
      <c r="C36" s="163"/>
      <c r="D36" s="163"/>
      <c r="E36" s="163"/>
      <c r="F36" s="163"/>
      <c r="G36" s="163"/>
      <c r="H36" s="163"/>
      <c r="I36" s="163"/>
      <c r="J36" s="163"/>
      <c r="K36" s="303"/>
    </row>
    <row r="37" ht="15.75" customHeight="1">
      <c r="A37" s="302" t="s">
        <v>223</v>
      </c>
      <c r="B37" s="163"/>
      <c r="C37" s="163"/>
      <c r="D37" s="163"/>
      <c r="E37" s="163"/>
      <c r="F37" s="163"/>
      <c r="G37" s="163"/>
      <c r="H37" s="163"/>
      <c r="I37" s="163"/>
      <c r="J37" s="163"/>
      <c r="K37" s="303"/>
    </row>
    <row r="38" ht="15.75" customHeight="1">
      <c r="A38" s="302" t="s">
        <v>224</v>
      </c>
      <c r="B38" s="163"/>
      <c r="C38" s="163"/>
      <c r="D38" s="163"/>
      <c r="E38" s="163"/>
      <c r="F38" s="163"/>
      <c r="G38" s="163"/>
      <c r="H38" s="163"/>
      <c r="I38" s="163"/>
      <c r="J38" s="163"/>
      <c r="K38" s="303"/>
    </row>
    <row r="39" ht="15.75" customHeight="1">
      <c r="A39" s="302" t="s">
        <v>225</v>
      </c>
      <c r="B39" s="163"/>
      <c r="C39" s="163"/>
      <c r="D39" s="163"/>
      <c r="E39" s="163"/>
      <c r="F39" s="163"/>
      <c r="G39" s="163"/>
      <c r="H39" s="163"/>
      <c r="I39" s="163"/>
      <c r="J39" s="163"/>
      <c r="K39" s="303"/>
    </row>
    <row r="40" ht="15.75" customHeight="1">
      <c r="A40" s="302" t="s">
        <v>226</v>
      </c>
      <c r="B40" s="163"/>
      <c r="C40" s="163"/>
      <c r="D40" s="163"/>
      <c r="E40" s="163"/>
      <c r="F40" s="163"/>
      <c r="G40" s="163"/>
      <c r="H40" s="163"/>
      <c r="I40" s="163"/>
      <c r="J40" s="163"/>
      <c r="K40" s="303"/>
    </row>
    <row r="41" ht="15.75" customHeight="1">
      <c r="A41" s="302" t="s">
        <v>227</v>
      </c>
      <c r="B41" s="163"/>
      <c r="C41" s="163"/>
      <c r="D41" s="163"/>
      <c r="E41" s="163"/>
      <c r="F41" s="163"/>
      <c r="G41" s="163"/>
      <c r="H41" s="163"/>
      <c r="I41" s="163"/>
      <c r="J41" s="163"/>
      <c r="K41" s="303"/>
    </row>
    <row r="42" ht="15.75" customHeight="1">
      <c r="A42" s="302" t="s">
        <v>228</v>
      </c>
      <c r="B42" s="163"/>
      <c r="C42" s="163"/>
      <c r="D42" s="163"/>
      <c r="E42" s="163"/>
      <c r="F42" s="163"/>
      <c r="G42" s="163"/>
      <c r="H42" s="163"/>
      <c r="I42" s="163"/>
      <c r="J42" s="163"/>
      <c r="K42" s="303"/>
    </row>
    <row r="43" ht="15.75" customHeight="1">
      <c r="A43" s="302" t="s">
        <v>229</v>
      </c>
      <c r="B43" s="163"/>
      <c r="C43" s="163"/>
      <c r="D43" s="163"/>
      <c r="E43" s="163"/>
      <c r="F43" s="163"/>
      <c r="G43" s="163"/>
      <c r="H43" s="163"/>
      <c r="I43" s="163"/>
      <c r="J43" s="163"/>
      <c r="K43" s="303"/>
    </row>
    <row r="44" ht="15.75" customHeight="1">
      <c r="A44" s="304" t="s">
        <v>230</v>
      </c>
      <c r="B44" s="305"/>
      <c r="C44" s="305"/>
      <c r="D44" s="305"/>
      <c r="E44" s="305"/>
      <c r="F44" s="305"/>
      <c r="G44" s="305"/>
      <c r="H44" s="305"/>
      <c r="I44" s="305"/>
      <c r="J44" s="305"/>
      <c r="K44" s="313"/>
    </row>
    <row r="45" ht="15.75" customHeight="1">
      <c r="A45" s="163"/>
      <c r="B45" s="163"/>
      <c r="C45" s="163"/>
      <c r="D45" s="163"/>
      <c r="E45" s="163"/>
      <c r="F45" s="163"/>
      <c r="G45" s="163"/>
      <c r="H45" s="163"/>
      <c r="I45" s="163"/>
      <c r="J45" s="163"/>
      <c r="K45" s="163"/>
    </row>
    <row r="46" ht="15.75" customHeight="1">
      <c r="A46" s="299" t="s">
        <v>231</v>
      </c>
      <c r="B46" s="300"/>
      <c r="C46" s="300"/>
      <c r="D46" s="300"/>
      <c r="E46" s="300"/>
      <c r="F46" s="300"/>
      <c r="G46" s="300"/>
      <c r="H46" s="300"/>
      <c r="I46" s="300"/>
      <c r="J46" s="300"/>
      <c r="K46" s="301"/>
    </row>
    <row r="47" ht="15.75" customHeight="1">
      <c r="A47" s="302" t="s">
        <v>232</v>
      </c>
      <c r="B47" s="163"/>
      <c r="C47" s="163"/>
      <c r="D47" s="163"/>
      <c r="E47" s="163"/>
      <c r="F47" s="163"/>
      <c r="G47" s="163"/>
      <c r="H47" s="163"/>
      <c r="I47" s="163"/>
      <c r="J47" s="163"/>
      <c r="K47" s="303"/>
    </row>
    <row r="48" ht="15.75" customHeight="1">
      <c r="A48" s="302" t="s">
        <v>233</v>
      </c>
      <c r="B48" s="163"/>
      <c r="C48" s="163"/>
      <c r="D48" s="163"/>
      <c r="E48" s="163"/>
      <c r="F48" s="163"/>
      <c r="G48" s="163"/>
      <c r="H48" s="163"/>
      <c r="I48" s="163"/>
      <c r="J48" s="163"/>
      <c r="K48" s="303"/>
    </row>
    <row r="49" ht="15.75" customHeight="1">
      <c r="A49" s="304" t="s">
        <v>234</v>
      </c>
      <c r="B49" s="305"/>
      <c r="C49" s="305"/>
      <c r="D49" s="305"/>
      <c r="E49" s="305"/>
      <c r="F49" s="305"/>
      <c r="G49" s="305"/>
      <c r="H49" s="305"/>
      <c r="I49" s="305"/>
      <c r="J49" s="305"/>
      <c r="K49" s="313"/>
    </row>
    <row r="50" ht="15.75" customHeight="1">
      <c r="A50" s="316"/>
      <c r="B50" s="316"/>
      <c r="C50" s="316"/>
      <c r="D50" s="316"/>
      <c r="E50" s="316"/>
      <c r="F50" s="316"/>
      <c r="G50" s="316"/>
      <c r="H50" s="316"/>
      <c r="I50" s="316"/>
      <c r="J50" s="316"/>
      <c r="K50" s="316"/>
    </row>
    <row r="51" ht="15.75" customHeight="1">
      <c r="A51" s="317" t="s">
        <v>235</v>
      </c>
      <c r="B51" s="318"/>
      <c r="C51" s="318"/>
      <c r="D51" s="318"/>
      <c r="E51" s="318"/>
      <c r="F51" s="318"/>
      <c r="G51" s="318"/>
      <c r="H51" s="318"/>
      <c r="I51" s="318"/>
      <c r="J51" s="318"/>
      <c r="K51" s="319"/>
    </row>
    <row r="52" ht="15.75" customHeight="1">
      <c r="A52" s="320" t="s">
        <v>236</v>
      </c>
      <c r="B52" s="163"/>
      <c r="C52" s="163"/>
      <c r="D52" s="163"/>
      <c r="E52" s="163"/>
      <c r="F52" s="163"/>
      <c r="G52" s="163"/>
      <c r="H52" s="163"/>
      <c r="I52" s="163"/>
      <c r="J52" s="163"/>
      <c r="K52" s="321"/>
    </row>
    <row r="53" ht="15.75" customHeight="1">
      <c r="A53" s="320" t="s">
        <v>237</v>
      </c>
      <c r="B53" s="163"/>
      <c r="C53" s="163"/>
      <c r="D53" s="163"/>
      <c r="E53" s="163"/>
      <c r="F53" s="163"/>
      <c r="G53" s="163"/>
      <c r="H53" s="163"/>
      <c r="I53" s="163"/>
      <c r="J53" s="163"/>
      <c r="K53" s="321"/>
    </row>
    <row r="54" ht="15.75" customHeight="1">
      <c r="A54" s="320" t="s">
        <v>238</v>
      </c>
      <c r="B54" s="163"/>
      <c r="C54" s="163"/>
      <c r="D54" s="163"/>
      <c r="E54" s="163"/>
      <c r="F54" s="163"/>
      <c r="G54" s="163"/>
      <c r="H54" s="163"/>
      <c r="I54" s="163"/>
      <c r="J54" s="163"/>
      <c r="K54" s="321"/>
    </row>
    <row r="55" ht="15.75" customHeight="1">
      <c r="A55" s="320" t="s">
        <v>239</v>
      </c>
      <c r="B55" s="163"/>
      <c r="C55" s="163"/>
      <c r="D55" s="163"/>
      <c r="E55" s="163"/>
      <c r="F55" s="163"/>
      <c r="G55" s="163"/>
      <c r="H55" s="163"/>
      <c r="I55" s="163"/>
      <c r="J55" s="163"/>
      <c r="K55" s="321"/>
    </row>
    <row r="56" ht="15.75" customHeight="1">
      <c r="A56" s="320" t="s">
        <v>240</v>
      </c>
      <c r="B56" s="163"/>
      <c r="C56" s="163"/>
      <c r="D56" s="163"/>
      <c r="E56" s="163"/>
      <c r="F56" s="163"/>
      <c r="G56" s="163"/>
      <c r="H56" s="163"/>
      <c r="I56" s="163"/>
      <c r="J56" s="163"/>
      <c r="K56" s="321"/>
    </row>
    <row r="57" ht="15.75" customHeight="1">
      <c r="A57" s="322" t="s">
        <v>241</v>
      </c>
      <c r="B57" s="323"/>
      <c r="C57" s="323"/>
      <c r="D57" s="323"/>
      <c r="E57" s="323"/>
      <c r="F57" s="323"/>
      <c r="G57" s="323"/>
      <c r="H57" s="323"/>
      <c r="I57" s="323"/>
      <c r="J57" s="323"/>
      <c r="K57" s="324"/>
    </row>
    <row r="58" ht="15.75" customHeight="1">
      <c r="A58" s="163"/>
      <c r="B58" s="163"/>
      <c r="C58" s="163"/>
      <c r="D58" s="163"/>
      <c r="E58" s="163"/>
      <c r="F58" s="163"/>
      <c r="G58" s="163"/>
      <c r="H58" s="163"/>
      <c r="I58" s="163"/>
      <c r="J58" s="163"/>
      <c r="K58" s="163"/>
    </row>
    <row r="59" ht="15.75" customHeight="1">
      <c r="A59" s="163"/>
      <c r="B59" s="163"/>
      <c r="C59" s="163"/>
      <c r="D59" s="163" t="s">
        <v>242</v>
      </c>
      <c r="E59" s="163"/>
      <c r="F59" s="325"/>
      <c r="G59" s="163"/>
      <c r="H59" s="163"/>
      <c r="I59" s="163"/>
      <c r="J59" s="163"/>
      <c r="K59" s="163"/>
    </row>
    <row r="60" ht="15.75" customHeight="1">
      <c r="A60" s="163"/>
      <c r="B60" s="163"/>
      <c r="C60" s="163"/>
      <c r="D60" s="163" t="s">
        <v>243</v>
      </c>
      <c r="E60" s="163"/>
      <c r="F60" s="163"/>
      <c r="G60" s="163"/>
      <c r="H60" s="163"/>
      <c r="I60" s="163"/>
      <c r="J60" s="163"/>
      <c r="K60" s="163"/>
    </row>
    <row r="61" ht="15.75" customHeight="1">
      <c r="A61" s="163"/>
      <c r="B61" s="163"/>
      <c r="C61" s="163"/>
      <c r="D61" s="163"/>
      <c r="E61" s="163"/>
      <c r="F61" s="163"/>
      <c r="G61" s="163"/>
      <c r="H61" s="163"/>
      <c r="I61" s="163"/>
      <c r="J61" s="163"/>
      <c r="K61" s="163"/>
    </row>
    <row r="62" ht="15.75" customHeight="1">
      <c r="A62" s="163"/>
      <c r="B62" s="163"/>
      <c r="C62" s="163"/>
      <c r="D62" s="163"/>
      <c r="E62" s="163"/>
      <c r="F62" s="163"/>
      <c r="G62" s="163"/>
      <c r="H62" s="163"/>
      <c r="I62" s="163"/>
      <c r="J62" s="163"/>
      <c r="K62" s="163"/>
    </row>
    <row r="63" ht="15.75" customHeight="1">
      <c r="A63" s="163"/>
      <c r="B63" s="163"/>
      <c r="C63" s="163"/>
      <c r="D63" s="163"/>
      <c r="E63" s="163"/>
      <c r="F63" s="163"/>
      <c r="G63" s="163"/>
      <c r="H63" s="163"/>
      <c r="I63" s="163"/>
      <c r="J63" s="163"/>
      <c r="K63" s="163"/>
    </row>
    <row r="64" ht="15.75" customHeight="1">
      <c r="A64" s="163"/>
      <c r="B64" s="326"/>
      <c r="C64" s="163"/>
      <c r="D64" s="163"/>
      <c r="E64" s="163"/>
      <c r="F64" s="163"/>
      <c r="G64" s="163"/>
      <c r="H64" s="163"/>
      <c r="I64" s="163"/>
      <c r="J64" s="163"/>
      <c r="K64" s="163"/>
    </row>
    <row r="65" ht="15.75" customHeight="1">
      <c r="A65" s="327" t="s">
        <v>244</v>
      </c>
      <c r="B65" s="163"/>
      <c r="C65" s="163"/>
      <c r="D65" s="163"/>
      <c r="E65" s="163"/>
      <c r="F65" s="163"/>
      <c r="G65" s="163"/>
      <c r="H65" s="163"/>
      <c r="I65" s="163"/>
      <c r="J65" s="163"/>
      <c r="K65" s="163"/>
    </row>
    <row r="66" ht="15.75" customHeight="1">
      <c r="A66" s="328" t="s">
        <v>245</v>
      </c>
      <c r="B66" s="163"/>
      <c r="C66" s="163"/>
      <c r="D66" s="163"/>
      <c r="E66" s="163"/>
      <c r="F66" s="163"/>
      <c r="G66" s="163"/>
      <c r="H66" s="163"/>
      <c r="I66" s="163"/>
      <c r="J66" s="163"/>
      <c r="K66" s="163"/>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D2:J2"/>
    <mergeCell ref="D6:J6"/>
    <mergeCell ref="G10:J10"/>
    <mergeCell ref="B11:D11"/>
    <mergeCell ref="H11:K11"/>
    <mergeCell ref="B24:K24"/>
  </mergeCells>
  <printOptions horizontalCentered="1" verticalCentered="1"/>
  <pageMargins bottom="0.35433070866141736" footer="0.0" header="0.0" left="0.7086614173228347" right="0.5118110236220472" top="0.0"/>
  <pageSetup paperSize="9" orientation="portrait"/>
  <colBreaks count="1" manualBreakCount="1">
    <brk id="11"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12.0"/>
    <col customWidth="1" min="3" max="26" width="10.71"/>
  </cols>
  <sheetData>
    <row r="4">
      <c r="B4" s="269"/>
    </row>
    <row r="5">
      <c r="A5" s="275"/>
      <c r="B5" s="269"/>
    </row>
    <row r="6">
      <c r="A6" s="121" t="s">
        <v>246</v>
      </c>
      <c r="B6" s="121" t="s">
        <v>247</v>
      </c>
    </row>
    <row r="7">
      <c r="A7" s="121" t="s">
        <v>248</v>
      </c>
      <c r="B7" s="329"/>
    </row>
    <row r="8">
      <c r="A8" s="121" t="s">
        <v>22</v>
      </c>
      <c r="B8" s="3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2020-10-09T11:35:41Z</dcterms:created>
  <dc:creator>adim</dc:creator>
</cp:coreProperties>
</file>